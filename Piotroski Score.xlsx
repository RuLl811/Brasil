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13_ncr:1_{2171682B-68D7-4BE8-9725-30DAC312E743}" xr6:coauthVersionLast="47" xr6:coauthVersionMax="47" xr10:uidLastSave="{00000000-0000-0000-0000-000000000000}"/>
  <bookViews>
    <workbookView xWindow="28680" yWindow="-120" windowWidth="29040" windowHeight="15720" xr2:uid="{27C00862-24EF-4D3B-920D-3DE9DF7C0F53}"/>
  </bookViews>
  <sheets>
    <sheet name="Price" sheetId="1" r:id="rId1"/>
    <sheet name="ROA" sheetId="2" r:id="rId2"/>
    <sheet name="CFO" sheetId="3" r:id="rId3"/>
    <sheet name="TOT_ASSETS" sheetId="4" r:id="rId4"/>
    <sheet name="LEVER" sheetId="5" r:id="rId5"/>
    <sheet name="LIQUID" sheetId="6" r:id="rId6"/>
    <sheet name="EQ_OFFER" sheetId="7" r:id="rId7"/>
    <sheet name="MARGIN" sheetId="8" r:id="rId8"/>
    <sheet name="TURN" sheetId="9" r:id="rId9"/>
  </sheets>
  <definedNames>
    <definedName name="SpreadsheetBuilder_1" hidden="1">ROA!$A$1:$R$2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E2" i="1"/>
  <c r="L2" i="1"/>
  <c r="O2" i="1"/>
  <c r="G2" i="1"/>
  <c r="R2" i="1"/>
  <c r="C2" i="1"/>
  <c r="N2" i="1"/>
  <c r="P2" i="1"/>
  <c r="I2" i="1"/>
  <c r="J2" i="1"/>
  <c r="F2" i="1"/>
  <c r="D2" i="1"/>
  <c r="Q2" i="1"/>
  <c r="H2" i="1"/>
  <c r="M2" i="1"/>
  <c r="A2" i="1"/>
  <c r="R2" i="9"/>
  <c r="D2" i="9"/>
  <c r="H2" i="9"/>
  <c r="O2" i="9"/>
  <c r="I2" i="9"/>
  <c r="K2" i="9"/>
  <c r="G2" i="9"/>
  <c r="J2" i="9"/>
  <c r="C2" i="9"/>
  <c r="N2" i="9"/>
  <c r="P2" i="9"/>
  <c r="L2" i="9"/>
  <c r="F2" i="9"/>
  <c r="Q2" i="9"/>
  <c r="M2" i="9"/>
  <c r="E2" i="9"/>
  <c r="A2" i="9"/>
  <c r="O2" i="8"/>
  <c r="L2" i="8"/>
  <c r="M2" i="8"/>
  <c r="E2" i="8"/>
  <c r="K2" i="8"/>
  <c r="F2" i="8"/>
  <c r="R2" i="8"/>
  <c r="Q2" i="8"/>
  <c r="H2" i="8"/>
  <c r="P2" i="8"/>
  <c r="N2" i="8"/>
  <c r="I2" i="8"/>
  <c r="G2" i="8"/>
  <c r="D2" i="8"/>
  <c r="J2" i="8"/>
  <c r="C2" i="8"/>
  <c r="A2" i="8"/>
  <c r="C2" i="7"/>
  <c r="F2" i="7"/>
  <c r="D2" i="7"/>
  <c r="J2" i="7"/>
  <c r="P2" i="7"/>
  <c r="G2" i="7"/>
  <c r="I2" i="7"/>
  <c r="Q2" i="7"/>
  <c r="K2" i="7"/>
  <c r="H2" i="7"/>
  <c r="N2" i="7"/>
  <c r="E2" i="7"/>
  <c r="M2" i="7"/>
  <c r="R2" i="7"/>
  <c r="L2" i="7"/>
  <c r="O2" i="7"/>
  <c r="A2" i="7"/>
  <c r="C2" i="6"/>
  <c r="J2" i="6"/>
  <c r="G2" i="6"/>
  <c r="E2" i="6"/>
  <c r="Q2" i="6"/>
  <c r="M2" i="6"/>
  <c r="D2" i="6"/>
  <c r="R2" i="6"/>
  <c r="I2" i="6"/>
  <c r="L2" i="6"/>
  <c r="F2" i="6"/>
  <c r="H2" i="6"/>
  <c r="P2" i="6"/>
  <c r="O2" i="6"/>
  <c r="K2" i="6"/>
  <c r="N2" i="6"/>
  <c r="A2" i="6"/>
  <c r="Q2" i="5"/>
  <c r="J2" i="5"/>
  <c r="K2" i="5"/>
  <c r="M2" i="5"/>
  <c r="G2" i="5"/>
  <c r="O2" i="5"/>
  <c r="E2" i="5"/>
  <c r="I2" i="5"/>
  <c r="P2" i="5"/>
  <c r="D2" i="5"/>
  <c r="R2" i="5"/>
  <c r="H2" i="5"/>
  <c r="C2" i="5"/>
  <c r="F2" i="5"/>
  <c r="N2" i="5"/>
  <c r="L2" i="5"/>
  <c r="A2" i="5"/>
  <c r="F2" i="4"/>
  <c r="E2" i="4"/>
  <c r="H2" i="4"/>
  <c r="N2" i="4"/>
  <c r="L2" i="4"/>
  <c r="O2" i="4"/>
  <c r="M2" i="4"/>
  <c r="R2" i="4"/>
  <c r="K2" i="4"/>
  <c r="C2" i="4"/>
  <c r="P2" i="4"/>
  <c r="I2" i="4"/>
  <c r="J2" i="4"/>
  <c r="Q2" i="4"/>
  <c r="G2" i="4"/>
  <c r="D2" i="4"/>
  <c r="A2" i="4"/>
  <c r="G2" i="3"/>
  <c r="I2" i="3"/>
  <c r="R2" i="3"/>
  <c r="J2" i="3"/>
  <c r="P2" i="3"/>
  <c r="H2" i="3"/>
  <c r="C2" i="3"/>
  <c r="D2" i="3"/>
  <c r="E2" i="3"/>
  <c r="K2" i="3"/>
  <c r="O2" i="3"/>
  <c r="L2" i="3"/>
  <c r="N2" i="3"/>
  <c r="Q2" i="3"/>
  <c r="M2" i="3"/>
  <c r="F2" i="3"/>
  <c r="A2" i="3"/>
  <c r="M2" i="2"/>
  <c r="D2" i="2"/>
  <c r="G2" i="2"/>
  <c r="J2" i="2"/>
  <c r="R2" i="2"/>
  <c r="N2" i="2"/>
  <c r="E2" i="2"/>
  <c r="I2" i="2"/>
  <c r="P2" i="2"/>
  <c r="O2" i="2"/>
  <c r="H2" i="2"/>
  <c r="Q2" i="2"/>
  <c r="L2" i="2"/>
  <c r="F2" i="2"/>
  <c r="K2" i="2"/>
  <c r="C2" i="2"/>
  <c r="A2" i="2"/>
</calcChain>
</file>

<file path=xl/sharedStrings.xml><?xml version="1.0" encoding="utf-8"?>
<sst xmlns="http://schemas.openxmlformats.org/spreadsheetml/2006/main" count="503" uniqueCount="19">
  <si>
    <t>YPFD AR Equity</t>
  </si>
  <si>
    <t>VALO AR Equity</t>
  </si>
  <si>
    <t>TRAN AR Equity</t>
  </si>
  <si>
    <t>SUPV AR Equity</t>
  </si>
  <si>
    <t>METR AR Equity</t>
  </si>
  <si>
    <t>EDN AR Equity</t>
  </si>
  <si>
    <t>BMA AR Equity</t>
  </si>
  <si>
    <t>BBAR AR Equity</t>
  </si>
  <si>
    <t>TGSU2 AR Equity</t>
  </si>
  <si>
    <t>TGNO4 AR Equity</t>
  </si>
  <si>
    <t>TECO2 AR Equity</t>
  </si>
  <si>
    <t>PAMP AR Equity</t>
  </si>
  <si>
    <t>GGAL AR Equity</t>
  </si>
  <si>
    <t>CRES AR Equity</t>
  </si>
  <si>
    <t>COME AR Equity</t>
  </si>
  <si>
    <t>ALUA AR Equity</t>
  </si>
  <si>
    <t>CEPU AR Equity</t>
  </si>
  <si>
    <t>Dates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</si>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</sst>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8" formatCode="_-* #,##0.0000_-;\-* #,##0.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43" fontId="0" fillId="0" borderId="0" xfId="1" applyNumberFormat="1" applyFont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BDH|11489746095913358654</stp>
        <tr r="D2" s="9"/>
      </tp>
      <tp t="s">
        <v>#N/A N/A</v>
        <stp/>
        <stp>BDH|15427769096553222234</stp>
        <tr r="E2" s="4"/>
      </tp>
      <tp t="s">
        <v>#N/A N/A</v>
        <stp/>
        <stp>BDH|10055990192792843871</stp>
        <tr r="M2" s="9"/>
      </tp>
      <tp t="s">
        <v>#N/A N/A</v>
        <stp/>
        <stp>BDH|13823878772386658027</stp>
        <tr r="C2" s="2"/>
      </tp>
      <tp t="s">
        <v>#N/A N/A</v>
        <stp/>
        <stp>BDH|11882272776517285929</stp>
        <tr r="P2" s="1"/>
      </tp>
      <tp t="s">
        <v>#N/A N/A</v>
        <stp/>
        <stp>BDH|17250787078285609947</stp>
        <tr r="Q2" s="6"/>
      </tp>
      <tp t="s">
        <v>#N/A N/A</v>
        <stp/>
        <stp>BDH|14966078074958688038</stp>
        <tr r="F2" s="3"/>
      </tp>
      <tp t="s">
        <v>#N/A N/A</v>
        <stp/>
        <stp>BDH|11463087381803733149</stp>
        <tr r="E2" s="2"/>
      </tp>
      <tp t="s">
        <v>#N/A N/A</v>
        <stp/>
        <stp>BDH|14653880744990806075</stp>
        <tr r="Q2" s="1"/>
      </tp>
      <tp t="s">
        <v>#N/A N/A</v>
        <stp/>
        <stp>BDH|16799952818214522283</stp>
        <tr r="Q2" s="5"/>
      </tp>
      <tp t="s">
        <v>#N/A N/A</v>
        <stp/>
        <stp>BDH|17869880348807114454</stp>
        <tr r="R2" s="1"/>
      </tp>
      <tp t="s">
        <v>#N/A N/A</v>
        <stp/>
        <stp>BDH|18361302329098449847</stp>
        <tr r="R2" s="8"/>
      </tp>
      <tp t="s">
        <v>#N/A N/A</v>
        <stp/>
        <stp>BDH|16738927189848713644</stp>
        <tr r="R2" s="2"/>
      </tp>
      <tp t="s">
        <v>#N/A N/A</v>
        <stp/>
        <stp>BDH|11410361484362319673</stp>
        <tr r="G2" s="4"/>
      </tp>
      <tp t="s">
        <v>#N/A N/A</v>
        <stp/>
        <stp>BDH|18047738599790834854</stp>
        <tr r="C2" s="7"/>
      </tp>
      <tp t="s">
        <v>#N/A N/A</v>
        <stp/>
        <stp>BDH|15846926481788495288</stp>
        <tr r="I2" s="7"/>
      </tp>
      <tp t="s">
        <v>#N/A N/A</v>
        <stp/>
        <stp>BDH|11748321725747419859</stp>
        <tr r="K2" s="6"/>
      </tp>
      <tp t="s">
        <v>#N/A N/A</v>
        <stp/>
        <stp>BDH|16486555188356046287</stp>
        <tr r="G2" s="5"/>
      </tp>
      <tp t="s">
        <v>#N/A N/A</v>
        <stp/>
        <stp>BDH|15017362506558781128</stp>
        <tr r="F2" s="2"/>
      </tp>
      <tp t="s">
        <v>#N/A N/A</v>
        <stp/>
        <stp>BDH|16330000726308883369</stp>
        <tr r="L2" s="5"/>
      </tp>
      <tp t="s">
        <v>#N/A N/A</v>
        <stp/>
        <stp>BDH|12926169648228329080</stp>
        <tr r="R2" s="3"/>
      </tp>
      <tp t="s">
        <v>#N/A N/A</v>
        <stp/>
        <stp>BDH|18300360862314505563</stp>
        <tr r="I2" s="3"/>
      </tp>
      <tp t="s">
        <v>#N/A N/A</v>
        <stp/>
        <stp>BDH|13656482981091129219</stp>
        <tr r="D2" s="4"/>
      </tp>
      <tp t="s">
        <v>#N/A N/A</v>
        <stp/>
        <stp>BDH|12086040960268311161</stp>
        <tr r="R2" s="7"/>
      </tp>
      <tp t="s">
        <v>#N/A N/A</v>
        <stp/>
        <stp>BDH|11695539154705436942</stp>
        <tr r="L2" s="3"/>
      </tp>
      <tp t="s">
        <v>#N/A N/A</v>
        <stp/>
        <stp>BDH|16129123935630688926</stp>
        <tr r="Q2" s="4"/>
      </tp>
      <tp t="s">
        <v>#N/A N/A</v>
        <stp/>
        <stp>BDH|11633992521584917329</stp>
        <tr r="E2" s="1"/>
      </tp>
      <tp t="s">
        <v>#N/A N/A</v>
        <stp/>
        <stp>BDH|12331197872860885956</stp>
        <tr r="G2" s="2"/>
      </tp>
      <tp t="s">
        <v>#N/A N/A</v>
        <stp/>
        <stp>BDH|17686876477892484793</stp>
        <tr r="N2" s="4"/>
      </tp>
      <tp t="s">
        <v>#N/A N/A</v>
        <stp/>
        <stp>BDH|16822927947740630669</stp>
        <tr r="A2" s="5"/>
      </tp>
      <tp t="s">
        <v>#N/A N/A</v>
        <stp/>
        <stp>BDH|17496344065941064163</stp>
        <tr r="O2" s="4"/>
      </tp>
      <tp t="s">
        <v>#N/A N/A</v>
        <stp/>
        <stp>BDH|11567865491221958391</stp>
        <tr r="N2" s="7"/>
      </tp>
      <tp t="s">
        <v>#N/A N/A</v>
        <stp/>
        <stp>BDH|10507572821807669213</stp>
        <tr r="N2" s="6"/>
      </tp>
      <tp t="s">
        <v>#N/A N/A</v>
        <stp/>
        <stp>BDH|15693487161033136649</stp>
        <tr r="D2" s="8"/>
      </tp>
      <tp t="s">
        <v>#N/A N/A</v>
        <stp/>
        <stp>BDH|17902684044284432207</stp>
        <tr r="L2" s="1"/>
      </tp>
      <tp t="s">
        <v>#N/A N/A</v>
        <stp/>
        <stp>BDH|12567056335103273124</stp>
        <tr r="O2" s="1"/>
      </tp>
      <tp t="s">
        <v>#N/A N/A</v>
        <stp/>
        <stp>BDH|18109084339718700031</stp>
        <tr r="K2" s="1"/>
      </tp>
      <tp t="s">
        <v>#N/A N/A</v>
        <stp/>
        <stp>BDH|17031759966306268387</stp>
        <tr r="R2" s="6"/>
      </tp>
      <tp t="s">
        <v>#N/A N/A</v>
        <stp/>
        <stp>BDH|13699981727498369337</stp>
        <tr r="A2" s="4"/>
      </tp>
      <tp t="s">
        <v>#N/A N/A</v>
        <stp/>
        <stp>BDH|14731560932216544407</stp>
        <tr r="H2" s="5"/>
      </tp>
      <tp t="s">
        <v>#N/A N/A</v>
        <stp/>
        <stp>BDH|16446362304360050501</stp>
        <tr r="O2" s="8"/>
      </tp>
      <tp t="s">
        <v>#N/A N/A</v>
        <stp/>
        <stp>BDH|13745593902061505729</stp>
        <tr r="C2" s="1"/>
      </tp>
      <tp t="s">
        <v>#N/A N/A</v>
        <stp/>
        <stp>BDH|12123257176217149082</stp>
        <tr r="P2" s="5"/>
      </tp>
      <tp t="s">
        <v>#N/A N/A</v>
        <stp/>
        <stp>BDH|15201682941832168518</stp>
        <tr r="G2" s="9"/>
      </tp>
      <tp t="s">
        <v>#N/A N/A</v>
        <stp/>
        <stp>BDH|12460776332900844672</stp>
        <tr r="P2" s="7"/>
      </tp>
      <tp t="s">
        <v>#N/A N/A</v>
        <stp/>
        <stp>BDH|14022160514934543168</stp>
        <tr r="I2" s="9"/>
      </tp>
      <tp t="s">
        <v>#N/A N/A</v>
        <stp/>
        <stp>BDH|16460238152605615536</stp>
        <tr r="N2" s="2"/>
      </tp>
      <tp t="s">
        <v>#N/A N/A</v>
        <stp/>
        <stp>BDH|16003857388102715574</stp>
        <tr r="G2" s="8"/>
      </tp>
      <tp t="s">
        <v>#N/A N/A</v>
        <stp/>
        <stp>BDH|15199419428662932759</stp>
        <tr r="F2" s="6"/>
      </tp>
      <tp t="s">
        <v>#N/A N/A</v>
        <stp/>
        <stp>BDH|17124182443213025715</stp>
        <tr r="E2" s="9"/>
      </tp>
      <tp t="s">
        <v>#N/A N/A</v>
        <stp/>
        <stp>BDH|16767827780830351175</stp>
        <tr r="O2" s="3"/>
      </tp>
      <tp t="s">
        <v>#N/A N/A</v>
        <stp/>
        <stp>BDH|16498762836864306143</stp>
        <tr r="J2" s="1"/>
      </tp>
      <tp t="s">
        <v>#N/A N/A</v>
        <stp/>
        <stp>BDH|16231606784548916787</stp>
        <tr r="P2" s="3"/>
      </tp>
      <tp t="s">
        <v>#N/A N/A</v>
        <stp/>
        <stp>BDH|15823120030975499539</stp>
        <tr r="H2" s="7"/>
      </tp>
      <tp t="s">
        <v>#N/A N/A</v>
        <stp/>
        <stp>BDH|14118468702894173390</stp>
        <tr r="C2" s="9"/>
      </tp>
      <tp t="s">
        <v>#N/A N/A</v>
        <stp/>
        <stp>BDH|14338810108238004361</stp>
        <tr r="A2" s="7"/>
      </tp>
      <tp t="s">
        <v>#N/A N/A</v>
        <stp/>
        <stp>BDH|12834536764130800548</stp>
        <tr r="E2" s="7"/>
      </tp>
      <tp t="s">
        <v>#N/A N/A</v>
        <stp/>
        <stp>BDH|17158044930107634774</stp>
        <tr r="L2" s="8"/>
      </tp>
      <tp t="s">
        <v>#N/A N/A</v>
        <stp/>
        <stp>BDH|17675839639410347880</stp>
        <tr r="C2" s="6"/>
      </tp>
      <tp t="s">
        <v>#N/A N/A</v>
        <stp/>
        <stp>BDH|14166360117083359154</stp>
        <tr r="N2" s="5"/>
      </tp>
      <tp t="s">
        <v>#N/A N/A</v>
        <stp/>
        <stp>BDH|14652221407721625337</stp>
        <tr r="F2" s="9"/>
      </tp>
      <tp t="s">
        <v>#N/A N/A</v>
        <stp/>
        <stp>BDH|16587302297610184970</stp>
        <tr r="O2" s="2"/>
      </tp>
      <tp t="s">
        <v>#N/A N/A</v>
        <stp/>
        <stp>BDH|16742504203876582088</stp>
        <tr r="J2" s="7"/>
      </tp>
      <tp t="s">
        <v>#N/A N/A</v>
        <stp/>
        <stp>BDH|11365011230603226494</stp>
        <tr r="H2" s="8"/>
      </tp>
      <tp t="s">
        <v>#N/A N/A</v>
        <stp/>
        <stp>BDH|12404751740052980622</stp>
        <tr r="D2" s="3"/>
      </tp>
    </main>
    <main first="bofaddin.rtdserver">
      <tp t="s">
        <v>#N/A N/A</v>
        <stp/>
        <stp>BDH|8675151827004865344</stp>
        <tr r="M2" s="6"/>
      </tp>
      <tp t="s">
        <v>#N/A N/A</v>
        <stp/>
        <stp>BDH|7627888022122662390</stp>
        <tr r="N2" s="1"/>
      </tp>
      <tp t="s">
        <v>#N/A N/A</v>
        <stp/>
        <stp>BDH|3801504733758269042</stp>
        <tr r="E2" s="5"/>
      </tp>
      <tp t="s">
        <v>#N/A N/A</v>
        <stp/>
        <stp>BDH|4413905267337812197</stp>
        <tr r="L2" s="9"/>
      </tp>
      <tp t="s">
        <v>#N/A N/A</v>
        <stp/>
        <stp>BDH|7151382432058505280</stp>
        <tr r="M2" s="2"/>
      </tp>
      <tp t="s">
        <v>#N/A N/A</v>
        <stp/>
        <stp>BDH|6794951646047701150</stp>
        <tr r="Q2" s="8"/>
      </tp>
      <tp t="s">
        <v>#N/A N/A</v>
        <stp/>
        <stp>BDH|9863646728353377301</stp>
        <tr r="A2" s="2"/>
      </tp>
    </main>
    <main first="bofaddin.rtdserver">
      <tp t="s">
        <v>#N/A N/A</v>
        <stp/>
        <stp>BDH|4322336105511348898</stp>
        <tr r="D2" s="5"/>
      </tp>
      <tp t="s">
        <v>#N/A N/A</v>
        <stp/>
        <stp>BDH|4159210120522487862</stp>
        <tr r="H2" s="4"/>
      </tp>
      <tp t="s">
        <v>#N/A N/A</v>
        <stp/>
        <stp>BDH|8857634068681741735</stp>
        <tr r="A2" s="1"/>
      </tp>
      <tp t="s">
        <v>#N/A N/A</v>
        <stp/>
        <stp>BDH|2260255819427360881</stp>
        <tr r="I2" s="5"/>
      </tp>
      <tp t="s">
        <v>#N/A N/A</v>
        <stp/>
        <stp>BDH|2675485396158101820</stp>
        <tr r="K2" s="5"/>
      </tp>
      <tp t="s">
        <v>#N/A N/A</v>
        <stp/>
        <stp>BDH|5073887767514631009</stp>
        <tr r="J2" s="9"/>
      </tp>
      <tp t="s">
        <v>#N/A N/A</v>
        <stp/>
        <stp>BDH|8084615198378729007</stp>
        <tr r="N2" s="3"/>
      </tp>
      <tp t="s">
        <v>#N/A N/A</v>
        <stp/>
        <stp>BDH|1979947292809606765</stp>
        <tr r="A2" s="9"/>
      </tp>
      <tp t="s">
        <v>#N/A N/A</v>
        <stp/>
        <stp>BDH|1900274874338424325</stp>
        <tr r="M2" s="3"/>
      </tp>
      <tp t="s">
        <v>#N/A N/A</v>
        <stp/>
        <stp>BDH|1595957079642347271</stp>
        <tr r="J2" s="8"/>
      </tp>
      <tp t="s">
        <v>#N/A N/A</v>
        <stp/>
        <stp>BDH|2696304594765887285</stp>
        <tr r="M2" s="1"/>
      </tp>
      <tp t="s">
        <v>#N/A N/A</v>
        <stp/>
        <stp>BDH|6223157863316150864</stp>
        <tr r="G2" s="3"/>
      </tp>
      <tp t="s">
        <v>#N/A N/A</v>
        <stp/>
        <stp>BDH|4506504682766913749</stp>
        <tr r="C2" s="8"/>
      </tp>
      <tp t="s">
        <v>#N/A N/A</v>
        <stp/>
        <stp>BDH|3969402277809228172</stp>
        <tr r="N2" s="8"/>
      </tp>
      <tp t="s">
        <v>#N/A N/A</v>
        <stp/>
        <stp>BDH|3414054772915907944</stp>
        <tr r="O2" s="6"/>
      </tp>
      <tp t="s">
        <v>#N/A N/A</v>
        <stp/>
        <stp>BDH|5327693112558629221</stp>
        <tr r="O2" s="5"/>
      </tp>
      <tp t="s">
        <v>#N/A N/A</v>
        <stp/>
        <stp>BDH|7854829927232341725</stp>
        <tr r="O2" s="9"/>
      </tp>
      <tp t="s">
        <v>#N/A N/A</v>
        <stp/>
        <stp>BDH|7717459416288573226</stp>
        <tr r="F2" s="1"/>
      </tp>
      <tp t="s">
        <v>#N/A N/A</v>
        <stp/>
        <stp>BDH|6943911433111307451</stp>
        <tr r="E2" s="3"/>
      </tp>
      <tp t="s">
        <v>#N/A N/A</v>
        <stp/>
        <stp>BDH|9554912150414646839</stp>
        <tr r="R2" s="9"/>
      </tp>
      <tp t="s">
        <v>#N/A N/A</v>
        <stp/>
        <stp>BDH|3150770983003769644</stp>
        <tr r="K2" s="7"/>
      </tp>
      <tp t="s">
        <v>#N/A N/A</v>
        <stp/>
        <stp>BDH|3225705021387526827</stp>
        <tr r="H2" s="1"/>
      </tp>
      <tp t="s">
        <v>#N/A N/A</v>
        <stp/>
        <stp>BDH|5976998798377730807</stp>
        <tr r="G2" s="6"/>
      </tp>
      <tp t="s">
        <v>#N/A N/A</v>
        <stp/>
        <stp>BDH|6623288540129072388</stp>
        <tr r="J2" s="5"/>
      </tp>
      <tp t="s">
        <v>#N/A N/A</v>
        <stp/>
        <stp>BDH|8444254446975483156</stp>
        <tr r="H2" s="3"/>
      </tp>
      <tp t="s">
        <v>#N/A N/A</v>
        <stp/>
        <stp>BDH|2335117560429950701</stp>
        <tr r="I2" s="1"/>
      </tp>
      <tp t="s">
        <v>#N/A N/A</v>
        <stp/>
        <stp>BDH|4729616537208223288</stp>
        <tr r="P2" s="4"/>
      </tp>
      <tp t="s">
        <v>#N/A N/A</v>
        <stp/>
        <stp>BDH|2384186704428052020</stp>
        <tr r="D2" s="7"/>
      </tp>
      <tp t="s">
        <v>#N/A N/A</v>
        <stp/>
        <stp>BDH|3944894554345782042</stp>
        <tr r="L2" s="4"/>
      </tp>
      <tp t="s">
        <v>#N/A N/A</v>
        <stp/>
        <stp>BDH|9084516650980117258</stp>
        <tr r="P2" s="8"/>
      </tp>
      <tp t="s">
        <v>#N/A N/A</v>
        <stp/>
        <stp>BDH|1919877948239881043</stp>
        <tr r="F2" s="5"/>
      </tp>
      <tp t="s">
        <v>#N/A N/A</v>
        <stp/>
        <stp>BDH|8230879029705637368</stp>
        <tr r="P2" s="6"/>
      </tp>
      <tp t="s">
        <v>#N/A N/A</v>
        <stp/>
        <stp>BDH|1699760530359349834</stp>
        <tr r="E2" s="6"/>
      </tp>
      <tp t="s">
        <v>#N/A N/A</v>
        <stp/>
        <stp>BDH|2912920842829109295</stp>
        <tr r="M2" s="4"/>
      </tp>
      <tp t="s">
        <v>#N/A N/A</v>
        <stp/>
        <stp>BDH|9506604996107439528</stp>
        <tr r="C2" s="5"/>
      </tp>
      <tp t="s">
        <v>#N/A N/A</v>
        <stp/>
        <stp>BDH|2854014855804560627</stp>
        <tr r="F2" s="8"/>
      </tp>
      <tp t="s">
        <v>#N/A N/A</v>
        <stp/>
        <stp>BDH|2870082014885717384</stp>
        <tr r="K2" s="4"/>
      </tp>
      <tp t="s">
        <v>#N/A N/A</v>
        <stp/>
        <stp>BDH|6135016237777863713</stp>
        <tr r="R2" s="4"/>
      </tp>
      <tp t="s">
        <v>#N/A N/A</v>
        <stp/>
        <stp>BDH|3103638104344373463</stp>
        <tr r="R2" s="5"/>
      </tp>
      <tp t="s">
        <v>#N/A N/A</v>
        <stp/>
        <stp>BDH|1134643939925977427</stp>
        <tr r="L2" s="2"/>
      </tp>
      <tp t="s">
        <v>#N/A N/A</v>
        <stp/>
        <stp>BDH|3091078549007844537</stp>
        <tr r="C2" s="3"/>
      </tp>
      <tp t="s">
        <v>#N/A N/A</v>
        <stp/>
        <stp>BDH|3450041985828735598</stp>
        <tr r="D2" s="6"/>
      </tp>
      <tp t="s">
        <v>#N/A N/A</v>
        <stp/>
        <stp>BDH|1268159472398977948</stp>
        <tr r="K2" s="2"/>
      </tp>
      <tp t="s">
        <v>#N/A N/A</v>
        <stp/>
        <stp>BDH|3392983991891309465</stp>
        <tr r="J2" s="3"/>
      </tp>
      <tp t="s">
        <v>#N/A N/A</v>
        <stp/>
        <stp>BDH|1310485471535033161</stp>
        <tr r="I2" s="4"/>
      </tp>
      <tp t="s">
        <v>#N/A N/A</v>
        <stp/>
        <stp>BDH|5588071302102480175</stp>
        <tr r="K2" s="8"/>
      </tp>
      <tp t="s">
        <v>#N/A N/A</v>
        <stp/>
        <stp>BDH|8856781005908955193</stp>
        <tr r="O2" s="7"/>
      </tp>
      <tp t="s">
        <v>#N/A N/A</v>
        <stp/>
        <stp>BDH|1029922729605067811</stp>
        <tr r="P2" s="2"/>
      </tp>
      <tp t="s">
        <v>#N/A N/A</v>
        <stp/>
        <stp>BDH|9545515783893868006</stp>
        <tr r="F2" s="7"/>
      </tp>
      <tp t="s">
        <v>#N/A N/A</v>
        <stp/>
        <stp>BDH|6362767406500878685</stp>
        <tr r="J2" s="2"/>
      </tp>
      <tp t="s">
        <v>#N/A N/A</v>
        <stp/>
        <stp>BDH|7032028936872094127</stp>
        <tr r="K2" s="3"/>
      </tp>
      <tp t="s">
        <v>#N/A N/A</v>
        <stp/>
        <stp>BDH|8754534147819247744</stp>
        <tr r="J2" s="6"/>
      </tp>
      <tp t="s">
        <v>#N/A N/A</v>
        <stp/>
        <stp>BDH|2084210948794682046</stp>
        <tr r="M2" s="7"/>
      </tp>
      <tp t="s">
        <v>#N/A N/A</v>
        <stp/>
        <stp>BDH|7487472661406180371</stp>
        <tr r="G2" s="1"/>
      </tp>
      <tp t="s">
        <v>#N/A N/A</v>
        <stp/>
        <stp>BDH|3103062850704689253</stp>
        <tr r="Q2" s="9"/>
      </tp>
      <tp t="s">
        <v>#N/A N/A</v>
        <stp/>
        <stp>BDH|8586849782160051987</stp>
        <tr r="H2" s="6"/>
      </tp>
      <tp t="s">
        <v>#N/A N/A</v>
        <stp/>
        <stp>BDH|3189137113720049296</stp>
        <tr r="Q2" s="2"/>
      </tp>
      <tp t="s">
        <v>#N/A N/A</v>
        <stp/>
        <stp>BDH|9962750363079305056</stp>
        <tr r="H2" s="9"/>
      </tp>
      <tp t="s">
        <v>#N/A N/A</v>
        <stp/>
        <stp>BDH|2511919546006217838</stp>
        <tr r="L2" s="6"/>
      </tp>
      <tp t="s">
        <v>#N/A N/A</v>
        <stp/>
        <stp>BDH|4540404621183658045</stp>
        <tr r="N2" s="9"/>
      </tp>
      <tp t="s">
        <v>#N/A N/A</v>
        <stp/>
        <stp>BDH|4014037391239107540</stp>
        <tr r="Q2" s="3"/>
      </tp>
      <tp t="s">
        <v>#N/A N/A</v>
        <stp/>
        <stp>BDH|9476194140197720903</stp>
        <tr r="Q2" s="7"/>
      </tp>
      <tp t="s">
        <v>#N/A N/A</v>
        <stp/>
        <stp>BDH|8976770856758325051</stp>
        <tr r="I2" s="6"/>
      </tp>
      <tp t="s">
        <v>#N/A N/A</v>
        <stp/>
        <stp>BDH|3788767991388823798</stp>
        <tr r="G2" s="7"/>
      </tp>
      <tp t="s">
        <v>#N/A N/A</v>
        <stp/>
        <stp>BDH|5739072002315227245</stp>
        <tr r="K2" s="9"/>
      </tp>
      <tp t="s">
        <v>#N/A N/A</v>
        <stp/>
        <stp>BDH|4391103339990283501</stp>
        <tr r="I2" s="2"/>
      </tp>
      <tp t="s">
        <v>#N/A N/A</v>
        <stp/>
        <stp>BDH|9823117300718604362</stp>
        <tr r="M2" s="8"/>
      </tp>
      <tp t="s">
        <v>#N/A N/A</v>
        <stp/>
        <stp>BDH|9678000259809834691</stp>
        <tr r="E2" s="8"/>
      </tp>
      <tp t="s">
        <v>#N/A N/A</v>
        <stp/>
        <stp>BDH|7640930281133482626</stp>
        <tr r="H2" s="2"/>
      </tp>
      <tp t="s">
        <v>#N/A N/A</v>
        <stp/>
        <stp>BDH|6412042514566610226</stp>
        <tr r="D2" s="1"/>
      </tp>
      <tp t="s">
        <v>#N/A N/A</v>
        <stp/>
        <stp>BDH|2254634066039655860</stp>
        <tr r="L2" s="7"/>
      </tp>
      <tp t="s">
        <v>#N/A N/A</v>
        <stp/>
        <stp>BDH|4383777260164430249</stp>
        <tr r="F2" s="4"/>
      </tp>
    </main>
    <main first="bofaddin.rtdserver">
      <tp t="s">
        <v>#N/A N/A</v>
        <stp/>
        <stp>BDH|682187231514762642</stp>
        <tr r="C2" s="4"/>
      </tp>
      <tp t="s">
        <v>#N/A N/A</v>
        <stp/>
        <stp>BDH|124514575967900530</stp>
        <tr r="M2" s="5"/>
      </tp>
      <tp t="s">
        <v>#N/A N/A</v>
        <stp/>
        <stp>BDH|281631307833092673</stp>
        <tr r="D2" s="2"/>
      </tp>
      <tp t="s">
        <v>#N/A N/A</v>
        <stp/>
        <stp>BDH|240931453597333951</stp>
        <tr r="J2" s="4"/>
      </tp>
      <tp t="s">
        <v>#N/A N/A</v>
        <stp/>
        <stp>BDH|890622909761189527</stp>
        <tr r="A2" s="3"/>
      </tp>
      <tp t="s">
        <v>#N/A N/A</v>
        <stp/>
        <stp>BDH|970854609640344585</stp>
        <tr r="A2" s="6"/>
      </tp>
    </main>
    <main first="bofaddin.rtdserver">
      <tp t="s">
        <v>#N/A N/A</v>
        <stp/>
        <stp>BDH|159359843618665600</stp>
        <tr r="I2" s="8"/>
      </tp>
      <tp t="s">
        <v>#N/A N/A</v>
        <stp/>
        <stp>BDH|976823660930738540</stp>
        <tr r="P2" s="9"/>
      </tp>
      <tp t="s">
        <v>#N/A N/A</v>
        <stp/>
        <stp>BDH|679947177870177534</stp>
        <tr r="A2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4152-E9B3-4575-B43E-BB184B360E56}">
  <dimension ref="A1:R36"/>
  <sheetViews>
    <sheetView tabSelected="1" workbookViewId="0">
      <selection activeCell="I3" sqref="I3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_xll.BDH(B$1,"PX_LAST","2017-12-29","","Dir=V","Per=Q","Days=A","Dts=S","cols=2;rows=35")</f>
        <v>43098</v>
      </c>
      <c r="B2" s="3">
        <v>41.597999999999999</v>
      </c>
      <c r="C2" s="3">
        <f>_xll.BDH(C$1,"PX_LAST","2017-12-29","","Dir=V","Per=Q","Days=A","Dts=H","cols=1;rows=35")</f>
        <v>5.492</v>
      </c>
      <c r="D2" s="3">
        <f>_xll.BDH(D$1,"PX_LAST","2017-12-29","","Dir=V","Per=Q","Days=A","Dts=H","cols=1;rows=35")</f>
        <v>28.085999999999999</v>
      </c>
      <c r="E2" s="3">
        <f>_xll.BDH(E$1,"PX_LAST","2017-12-29","","Dir=V","Per=Q","Days=A","Dts=H","cols=1;rows=35")</f>
        <v>100.16200000000001</v>
      </c>
      <c r="F2" s="3">
        <f>_xll.BDH(F$1,"PX_LAST","2017-12-29","","Dir=V","Per=Q","Days=A","Dts=H","cols=1;rows=35")</f>
        <v>41.08</v>
      </c>
      <c r="G2" s="3">
        <f>_xll.BDH(G$1,"PX_LAST","2017-12-29","","Dir=V","Per=Q","Days=A","Dts=H","cols=1;rows=35")</f>
        <v>45.75</v>
      </c>
      <c r="H2" s="3">
        <f>_xll.BDH(H$1,"PX_LAST","2017-12-29","","Dir=V","Per=Q","Days=A","Dts=H","cols=1;rows=35")</f>
        <v>149.26400000000001</v>
      </c>
      <c r="I2" s="3">
        <f>_xll.BDH(I$1,"PX_LAST","2017-12-29","","Dir=V","Per=Q","Days=A","Dts=H","cols=1;rows=35")</f>
        <v>100.32899999999999</v>
      </c>
      <c r="J2" s="3">
        <f>_xll.BDH(J$1,"PX_LAST","2017-12-29","","Dir=V","Per=Q","Days=A","Dts=H","cols=1;rows=35")</f>
        <v>66.626000000000005</v>
      </c>
      <c r="K2" s="3">
        <f>_xll.BDH(K$1,"PX_LAST","2017-12-29","","Dir=V","Per=Q","Days=A","Dts=H","cols=1;rows=35")</f>
        <v>50.234999999999999</v>
      </c>
      <c r="L2" s="3">
        <f>_xll.BDH(L$1,"PX_LAST","2017-12-29","","Dir=V","Per=Q","Days=A","Dts=H","cols=1;rows=35")</f>
        <v>111.547</v>
      </c>
      <c r="M2" s="3">
        <f>_xll.BDH(M$1,"PX_LAST","2017-12-29","","Dir=V","Per=Q","Days=A","Dts=H","cols=1;rows=35")</f>
        <v>49.9</v>
      </c>
      <c r="N2" s="3">
        <f>_xll.BDH(N$1,"PX_LAST","2017-12-29","","Dir=V","Per=Q","Days=A","Dts=H","cols=1;rows=35")</f>
        <v>88.128</v>
      </c>
      <c r="O2" s="3">
        <f>_xll.BDH(O$1,"PX_LAST","2017-12-29","","Dir=V","Per=Q","Days=A","Dts=H","cols=1;rows=35")</f>
        <v>25.228000000000002</v>
      </c>
      <c r="P2" s="3">
        <f>_xll.BDH(P$1,"PX_LAST","2017-12-29","","Dir=V","Per=Q","Days=A","Dts=H","cols=1;rows=35")</f>
        <v>0.82599999999999996</v>
      </c>
      <c r="Q2" s="3">
        <f>_xll.BDH(Q$1,"PX_LAST","2017-12-29","","Dir=V","Per=Q","Days=A","Dts=H","cols=1;rows=35")</f>
        <v>11.516</v>
      </c>
      <c r="R2" s="3">
        <f>_xll.BDH(R$1,"PX_LAST","2017-12-29","","Dir=V","Per=Q","Days=A","Dts=H","cols=1;rows=35")</f>
        <v>26.704000000000001</v>
      </c>
    </row>
    <row r="3" spans="1:18" x14ac:dyDescent="0.25">
      <c r="A3" s="1">
        <v>43189</v>
      </c>
      <c r="B3" s="3">
        <v>42.607999999999997</v>
      </c>
      <c r="C3" s="3">
        <v>6.2489999999999997</v>
      </c>
      <c r="D3" s="3">
        <v>32.533000000000001</v>
      </c>
      <c r="E3" s="3">
        <v>108.851</v>
      </c>
      <c r="F3" s="3">
        <v>55.046999999999997</v>
      </c>
      <c r="G3" s="3">
        <v>56.8</v>
      </c>
      <c r="H3" s="3">
        <v>148.06</v>
      </c>
      <c r="I3" s="3">
        <v>98.44</v>
      </c>
      <c r="J3" s="3">
        <v>65.582999999999998</v>
      </c>
      <c r="K3" s="3">
        <v>43.988999999999997</v>
      </c>
      <c r="L3" s="3">
        <v>109.041</v>
      </c>
      <c r="M3" s="3">
        <v>48.25</v>
      </c>
      <c r="N3" s="3">
        <v>93.543000000000006</v>
      </c>
      <c r="O3" s="3">
        <v>25.166</v>
      </c>
      <c r="P3" s="3">
        <v>0.70699999999999996</v>
      </c>
      <c r="Q3" s="3">
        <v>10.673</v>
      </c>
      <c r="R3" s="3">
        <v>29.308</v>
      </c>
    </row>
    <row r="4" spans="1:18" x14ac:dyDescent="0.25">
      <c r="A4" s="1">
        <v>43280</v>
      </c>
      <c r="B4" s="3">
        <v>38.466000000000001</v>
      </c>
      <c r="C4" s="3">
        <v>4.4219999999999997</v>
      </c>
      <c r="D4" s="3">
        <v>23.466999999999999</v>
      </c>
      <c r="E4" s="3">
        <v>55.179000000000002</v>
      </c>
      <c r="F4" s="3">
        <v>27.25</v>
      </c>
      <c r="G4" s="3">
        <v>47.25</v>
      </c>
      <c r="H4" s="3">
        <v>118.152</v>
      </c>
      <c r="I4" s="3">
        <v>78.674999999999997</v>
      </c>
      <c r="J4" s="3">
        <v>55.475000000000001</v>
      </c>
      <c r="K4" s="3">
        <v>29.914000000000001</v>
      </c>
      <c r="L4" s="3">
        <v>89.564999999999998</v>
      </c>
      <c r="M4" s="3">
        <v>40.950000000000003</v>
      </c>
      <c r="N4" s="3">
        <v>68.215999999999994</v>
      </c>
      <c r="O4" s="3">
        <v>26.189</v>
      </c>
      <c r="P4" s="3">
        <v>0.56000000000000005</v>
      </c>
      <c r="Q4" s="3">
        <v>16.812000000000001</v>
      </c>
      <c r="R4" s="3">
        <v>24.248999999999999</v>
      </c>
    </row>
    <row r="5" spans="1:18" x14ac:dyDescent="0.25">
      <c r="A5" s="1">
        <v>43371</v>
      </c>
      <c r="B5" s="3">
        <v>63.523000000000003</v>
      </c>
      <c r="C5" s="3">
        <v>4.6379999999999999</v>
      </c>
      <c r="D5" s="3">
        <v>27.77</v>
      </c>
      <c r="E5" s="3">
        <v>57.24</v>
      </c>
      <c r="F5" s="3">
        <v>34.369999999999997</v>
      </c>
      <c r="G5" s="3">
        <v>51.3</v>
      </c>
      <c r="H5" s="3">
        <v>121.688</v>
      </c>
      <c r="I5" s="3">
        <v>105.42700000000001</v>
      </c>
      <c r="J5" s="3">
        <v>101.17</v>
      </c>
      <c r="K5" s="3">
        <v>44.378</v>
      </c>
      <c r="L5" s="3">
        <v>125.679</v>
      </c>
      <c r="M5" s="3">
        <v>50.95</v>
      </c>
      <c r="N5" s="3">
        <v>75.822999999999993</v>
      </c>
      <c r="O5" s="3">
        <v>35.734999999999999</v>
      </c>
      <c r="P5" s="3">
        <v>0.78600000000000003</v>
      </c>
      <c r="Q5" s="3">
        <v>18.399000000000001</v>
      </c>
      <c r="R5" s="3">
        <v>35.384999999999998</v>
      </c>
    </row>
    <row r="6" spans="1:18" x14ac:dyDescent="0.25">
      <c r="A6" s="1">
        <v>43465</v>
      </c>
      <c r="B6" s="3">
        <v>49.834000000000003</v>
      </c>
      <c r="C6" s="3">
        <v>4.0599999999999996</v>
      </c>
      <c r="D6" s="3">
        <v>27.794</v>
      </c>
      <c r="E6" s="3">
        <v>56.701999999999998</v>
      </c>
      <c r="F6" s="3">
        <v>24.192</v>
      </c>
      <c r="G6" s="3">
        <v>50.95</v>
      </c>
      <c r="H6" s="3">
        <v>115.959</v>
      </c>
      <c r="I6" s="3">
        <v>92.742999999999995</v>
      </c>
      <c r="J6" s="3">
        <v>92.406000000000006</v>
      </c>
      <c r="K6" s="3">
        <v>38.491</v>
      </c>
      <c r="L6" s="3">
        <v>103.932</v>
      </c>
      <c r="M6" s="3">
        <v>46.75</v>
      </c>
      <c r="N6" s="3">
        <v>74.135999999999996</v>
      </c>
      <c r="O6" s="3">
        <v>29.027000000000001</v>
      </c>
      <c r="P6" s="3">
        <v>0.58499999999999996</v>
      </c>
      <c r="Q6" s="3">
        <v>14.887</v>
      </c>
      <c r="R6" s="3">
        <v>28.634</v>
      </c>
    </row>
    <row r="7" spans="1:18" x14ac:dyDescent="0.25">
      <c r="A7" s="1">
        <v>43553</v>
      </c>
      <c r="B7" s="3">
        <v>60.537999999999997</v>
      </c>
      <c r="C7" s="3">
        <v>4.7850000000000001</v>
      </c>
      <c r="D7" s="3">
        <v>28.472999999999999</v>
      </c>
      <c r="E7" s="3">
        <v>47.475999999999999</v>
      </c>
      <c r="F7" s="3">
        <v>20.814</v>
      </c>
      <c r="G7" s="3">
        <v>43.1</v>
      </c>
      <c r="H7" s="3">
        <v>140.57300000000001</v>
      </c>
      <c r="I7" s="3">
        <v>90.897999999999996</v>
      </c>
      <c r="J7" s="3">
        <v>96.156000000000006</v>
      </c>
      <c r="K7" s="3">
        <v>44.106000000000002</v>
      </c>
      <c r="L7" s="3">
        <v>110.744</v>
      </c>
      <c r="M7" s="3">
        <v>48.1</v>
      </c>
      <c r="N7" s="3">
        <v>79.447000000000003</v>
      </c>
      <c r="O7" s="3">
        <v>32.938000000000002</v>
      </c>
      <c r="P7" s="3">
        <v>0.58099999999999996</v>
      </c>
      <c r="Q7" s="3">
        <v>14.843999999999999</v>
      </c>
      <c r="R7" s="3">
        <v>34.267000000000003</v>
      </c>
    </row>
    <row r="8" spans="1:18" x14ac:dyDescent="0.25">
      <c r="A8" s="1">
        <v>43644</v>
      </c>
      <c r="B8" s="3">
        <v>77.457999999999998</v>
      </c>
      <c r="C8" s="3">
        <v>7.0119999999999996</v>
      </c>
      <c r="D8" s="3">
        <v>31.707000000000001</v>
      </c>
      <c r="E8" s="3">
        <v>61.072000000000003</v>
      </c>
      <c r="F8" s="3">
        <v>18.896999999999998</v>
      </c>
      <c r="G8" s="3">
        <v>39.25</v>
      </c>
      <c r="H8" s="3">
        <v>232.10599999999999</v>
      </c>
      <c r="I8" s="3">
        <v>109.52500000000001</v>
      </c>
      <c r="J8" s="3">
        <v>114.652</v>
      </c>
      <c r="K8" s="3">
        <v>51.725999999999999</v>
      </c>
      <c r="L8" s="3">
        <v>136.042</v>
      </c>
      <c r="M8" s="3">
        <v>59.3</v>
      </c>
      <c r="N8" s="3">
        <v>110.217</v>
      </c>
      <c r="O8" s="3">
        <v>28.994</v>
      </c>
      <c r="P8" s="3">
        <v>0.56799999999999995</v>
      </c>
      <c r="Q8" s="3">
        <v>15.576000000000001</v>
      </c>
      <c r="R8" s="3">
        <v>33.880000000000003</v>
      </c>
    </row>
    <row r="9" spans="1:18" x14ac:dyDescent="0.25">
      <c r="A9" s="1">
        <v>43738</v>
      </c>
      <c r="B9" s="3">
        <v>59.244999999999997</v>
      </c>
      <c r="C9" s="3">
        <v>5.4560000000000004</v>
      </c>
      <c r="D9" s="3">
        <v>15.377000000000001</v>
      </c>
      <c r="E9" s="3">
        <v>36.825000000000003</v>
      </c>
      <c r="F9" s="3">
        <v>13.83</v>
      </c>
      <c r="G9" s="3">
        <v>22.6</v>
      </c>
      <c r="H9" s="3">
        <v>123.06100000000001</v>
      </c>
      <c r="I9" s="3">
        <v>63.368000000000002</v>
      </c>
      <c r="J9" s="3">
        <v>98.629000000000005</v>
      </c>
      <c r="K9" s="3">
        <v>34.145000000000003</v>
      </c>
      <c r="L9" s="3">
        <v>116.527</v>
      </c>
      <c r="M9" s="3">
        <v>44.05</v>
      </c>
      <c r="N9" s="3">
        <v>59.289000000000001</v>
      </c>
      <c r="O9" s="3">
        <v>23.984000000000002</v>
      </c>
      <c r="P9" s="3">
        <v>0.495</v>
      </c>
      <c r="Q9" s="3">
        <v>19.172000000000001</v>
      </c>
      <c r="R9" s="3">
        <v>16.251999999999999</v>
      </c>
    </row>
    <row r="10" spans="1:18" x14ac:dyDescent="0.25">
      <c r="A10" s="1">
        <v>43830</v>
      </c>
      <c r="B10" s="3">
        <v>85.72</v>
      </c>
      <c r="C10" s="3">
        <v>11.459</v>
      </c>
      <c r="D10" s="3">
        <v>19.082999999999998</v>
      </c>
      <c r="E10" s="3">
        <v>51.308999999999997</v>
      </c>
      <c r="F10" s="3">
        <v>14.789</v>
      </c>
      <c r="G10" s="3">
        <v>24.05</v>
      </c>
      <c r="H10" s="3">
        <v>202.88900000000001</v>
      </c>
      <c r="I10" s="3">
        <v>95.578999999999994</v>
      </c>
      <c r="J10" s="3">
        <v>104.209</v>
      </c>
      <c r="K10" s="3">
        <v>31.187000000000001</v>
      </c>
      <c r="L10" s="3">
        <v>165.89500000000001</v>
      </c>
      <c r="M10" s="3">
        <v>49.8</v>
      </c>
      <c r="N10" s="3">
        <v>88.406000000000006</v>
      </c>
      <c r="O10" s="3">
        <v>33.917000000000002</v>
      </c>
      <c r="P10" s="3">
        <v>0.67700000000000005</v>
      </c>
      <c r="Q10" s="3">
        <v>29.49</v>
      </c>
      <c r="R10" s="3">
        <v>31.465</v>
      </c>
    </row>
    <row r="11" spans="1:18" x14ac:dyDescent="0.25">
      <c r="A11" s="1">
        <v>43921</v>
      </c>
      <c r="B11" s="3">
        <v>34.549999999999997</v>
      </c>
      <c r="C11" s="3">
        <v>7.91</v>
      </c>
      <c r="D11" s="3">
        <v>12.734</v>
      </c>
      <c r="E11" s="3">
        <v>25.835999999999999</v>
      </c>
      <c r="F11" s="3">
        <v>11.821999999999999</v>
      </c>
      <c r="G11" s="3">
        <v>13.45</v>
      </c>
      <c r="H11" s="3">
        <v>103.55800000000001</v>
      </c>
      <c r="I11" s="3">
        <v>47.347000000000001</v>
      </c>
      <c r="J11" s="3">
        <v>69.200999999999993</v>
      </c>
      <c r="K11" s="3">
        <v>17.222000000000001</v>
      </c>
      <c r="L11" s="3">
        <v>152.49100000000001</v>
      </c>
      <c r="M11" s="3">
        <v>35.700000000000003</v>
      </c>
      <c r="N11" s="3">
        <v>42.131</v>
      </c>
      <c r="O11" s="3">
        <v>17.847000000000001</v>
      </c>
      <c r="P11" s="3">
        <v>0.38500000000000001</v>
      </c>
      <c r="Q11" s="3">
        <v>16.747</v>
      </c>
      <c r="R11" s="3">
        <v>17.407</v>
      </c>
    </row>
    <row r="12" spans="1:18" x14ac:dyDescent="0.25">
      <c r="A12" s="1">
        <v>44012</v>
      </c>
      <c r="B12" s="3">
        <v>60.21</v>
      </c>
      <c r="C12" s="3">
        <v>22.318999999999999</v>
      </c>
      <c r="D12" s="3">
        <v>16.221</v>
      </c>
      <c r="E12" s="3">
        <v>44.281999999999996</v>
      </c>
      <c r="F12" s="3">
        <v>16.706</v>
      </c>
      <c r="G12" s="3">
        <v>20.3</v>
      </c>
      <c r="H12" s="3">
        <v>147.86600000000001</v>
      </c>
      <c r="I12" s="3">
        <v>92.518000000000001</v>
      </c>
      <c r="J12" s="3">
        <v>109.43600000000001</v>
      </c>
      <c r="K12" s="3">
        <v>24.902999999999999</v>
      </c>
      <c r="L12" s="3">
        <v>183.815</v>
      </c>
      <c r="M12" s="3">
        <v>45</v>
      </c>
      <c r="N12" s="3">
        <v>75.028999999999996</v>
      </c>
      <c r="O12" s="3">
        <v>20.466000000000001</v>
      </c>
      <c r="P12" s="3">
        <v>0.68</v>
      </c>
      <c r="Q12" s="3">
        <v>32.856999999999999</v>
      </c>
      <c r="R12" s="3">
        <v>23.356000000000002</v>
      </c>
    </row>
    <row r="13" spans="1:18" x14ac:dyDescent="0.25">
      <c r="A13" s="1">
        <v>44104</v>
      </c>
      <c r="B13" s="3">
        <v>51.67</v>
      </c>
      <c r="C13" s="3">
        <v>18.471</v>
      </c>
      <c r="D13" s="3">
        <v>18.129000000000001</v>
      </c>
      <c r="E13" s="3">
        <v>47.790999999999997</v>
      </c>
      <c r="F13" s="3">
        <v>16.021000000000001</v>
      </c>
      <c r="G13" s="3">
        <v>22.75</v>
      </c>
      <c r="H13" s="3">
        <v>153.946</v>
      </c>
      <c r="I13" s="3">
        <v>82.653999999999996</v>
      </c>
      <c r="J13" s="3">
        <v>111.834</v>
      </c>
      <c r="K13" s="3">
        <v>28.277000000000001</v>
      </c>
      <c r="L13" s="3">
        <v>178.71600000000001</v>
      </c>
      <c r="M13" s="3">
        <v>59.65</v>
      </c>
      <c r="N13" s="3">
        <v>76.992000000000004</v>
      </c>
      <c r="O13" s="3">
        <v>25.898</v>
      </c>
      <c r="P13" s="3">
        <v>0.96399999999999997</v>
      </c>
      <c r="Q13" s="3">
        <v>42.595999999999997</v>
      </c>
      <c r="R13" s="3">
        <v>26.573</v>
      </c>
    </row>
    <row r="14" spans="1:18" x14ac:dyDescent="0.25">
      <c r="A14" s="1">
        <v>44196</v>
      </c>
      <c r="B14" s="3">
        <v>69.385000000000005</v>
      </c>
      <c r="C14" s="3">
        <v>24.841999999999999</v>
      </c>
      <c r="D14" s="3">
        <v>21.469000000000001</v>
      </c>
      <c r="E14" s="3">
        <v>57.718000000000004</v>
      </c>
      <c r="F14" s="3">
        <v>18.120999999999999</v>
      </c>
      <c r="G14" s="3">
        <v>28.6</v>
      </c>
      <c r="H14" s="3">
        <v>168.55500000000001</v>
      </c>
      <c r="I14" s="3">
        <v>105.88500000000001</v>
      </c>
      <c r="J14" s="3">
        <v>146.88999999999999</v>
      </c>
      <c r="K14" s="3">
        <v>32.466999999999999</v>
      </c>
      <c r="L14" s="3">
        <v>191.00299999999999</v>
      </c>
      <c r="M14" s="3">
        <v>77.650000000000006</v>
      </c>
      <c r="N14" s="3">
        <v>92.462999999999994</v>
      </c>
      <c r="O14" s="3">
        <v>41.709000000000003</v>
      </c>
      <c r="P14" s="3">
        <v>0.94899999999999995</v>
      </c>
      <c r="Q14" s="3">
        <v>42.96</v>
      </c>
      <c r="R14" s="3">
        <v>31.640999999999998</v>
      </c>
    </row>
    <row r="15" spans="1:18" x14ac:dyDescent="0.25">
      <c r="A15" s="1">
        <v>44286</v>
      </c>
      <c r="B15" s="3">
        <v>59.81</v>
      </c>
      <c r="C15" s="3">
        <v>20.48</v>
      </c>
      <c r="D15" s="3">
        <v>16.367999999999999</v>
      </c>
      <c r="E15" s="3">
        <v>46.220999999999997</v>
      </c>
      <c r="F15" s="3">
        <v>16.248999999999999</v>
      </c>
      <c r="G15" s="3">
        <v>25.55</v>
      </c>
      <c r="H15" s="3">
        <v>146.012</v>
      </c>
      <c r="I15" s="3">
        <v>88.436000000000007</v>
      </c>
      <c r="J15" s="3">
        <v>133.41399999999999</v>
      </c>
      <c r="K15" s="3">
        <v>25.911000000000001</v>
      </c>
      <c r="L15" s="3">
        <v>156.76499999999999</v>
      </c>
      <c r="M15" s="3">
        <v>86</v>
      </c>
      <c r="N15" s="3">
        <v>81.912000000000006</v>
      </c>
      <c r="O15" s="3">
        <v>50.524000000000001</v>
      </c>
      <c r="P15" s="3">
        <v>0.90700000000000003</v>
      </c>
      <c r="Q15" s="3">
        <v>42.777999999999999</v>
      </c>
      <c r="R15" s="3">
        <v>28.468</v>
      </c>
    </row>
    <row r="16" spans="1:18" x14ac:dyDescent="0.25">
      <c r="A16" s="1">
        <v>44377</v>
      </c>
      <c r="B16" s="3">
        <v>79.03</v>
      </c>
      <c r="C16" s="3">
        <v>21.977</v>
      </c>
      <c r="D16" s="3">
        <v>23.12</v>
      </c>
      <c r="E16" s="3">
        <v>65.040999999999997</v>
      </c>
      <c r="F16" s="3">
        <v>23.187000000000001</v>
      </c>
      <c r="G16" s="3">
        <v>39.75</v>
      </c>
      <c r="H16" s="3">
        <v>189.28100000000001</v>
      </c>
      <c r="I16" s="3">
        <v>125.40900000000001</v>
      </c>
      <c r="J16" s="3">
        <v>150.24700000000001</v>
      </c>
      <c r="K16" s="3">
        <v>44.22</v>
      </c>
      <c r="L16" s="3">
        <v>177.01599999999999</v>
      </c>
      <c r="M16" s="3">
        <v>102.45</v>
      </c>
      <c r="N16" s="3">
        <v>108.749</v>
      </c>
      <c r="O16" s="3">
        <v>66.427999999999997</v>
      </c>
      <c r="P16" s="3">
        <v>1.492</v>
      </c>
      <c r="Q16" s="3">
        <v>52.972000000000001</v>
      </c>
      <c r="R16" s="3">
        <v>37.104999999999997</v>
      </c>
    </row>
    <row r="17" spans="1:18" x14ac:dyDescent="0.25">
      <c r="A17" s="1">
        <v>44469</v>
      </c>
      <c r="B17" s="3">
        <v>91.36</v>
      </c>
      <c r="C17" s="3">
        <v>20.266999999999999</v>
      </c>
      <c r="D17" s="3">
        <v>36.552</v>
      </c>
      <c r="E17" s="3">
        <v>83.155000000000001</v>
      </c>
      <c r="F17" s="3">
        <v>34.232999999999997</v>
      </c>
      <c r="G17" s="3">
        <v>63.6</v>
      </c>
      <c r="H17" s="3">
        <v>243.41499999999999</v>
      </c>
      <c r="I17" s="3">
        <v>168.67500000000001</v>
      </c>
      <c r="J17" s="3">
        <v>184.15199999999999</v>
      </c>
      <c r="K17" s="3">
        <v>67.804000000000002</v>
      </c>
      <c r="L17" s="3">
        <v>190.80799999999999</v>
      </c>
      <c r="M17" s="3">
        <v>135.5</v>
      </c>
      <c r="N17" s="3">
        <v>143.80000000000001</v>
      </c>
      <c r="O17" s="3">
        <v>62.076000000000001</v>
      </c>
      <c r="P17" s="3">
        <v>1.964</v>
      </c>
      <c r="Q17" s="3">
        <v>57.887</v>
      </c>
      <c r="R17" s="3">
        <v>53.762999999999998</v>
      </c>
    </row>
    <row r="18" spans="1:18" x14ac:dyDescent="0.25">
      <c r="A18" s="1">
        <v>44561</v>
      </c>
      <c r="B18" s="3">
        <v>77.844999999999999</v>
      </c>
      <c r="C18" s="3">
        <v>22.661000000000001</v>
      </c>
      <c r="D18" s="3">
        <v>39.707999999999998</v>
      </c>
      <c r="E18" s="3">
        <v>76.491</v>
      </c>
      <c r="F18" s="3">
        <v>35.238</v>
      </c>
      <c r="G18" s="3">
        <v>57.05</v>
      </c>
      <c r="H18" s="3">
        <v>213.27</v>
      </c>
      <c r="I18" s="3">
        <v>152.58600000000001</v>
      </c>
      <c r="J18" s="3">
        <v>173.69800000000001</v>
      </c>
      <c r="K18" s="3">
        <v>72.924000000000007</v>
      </c>
      <c r="L18" s="3">
        <v>196.49</v>
      </c>
      <c r="M18" s="3">
        <v>166.2</v>
      </c>
      <c r="N18" s="3">
        <v>144.91200000000001</v>
      </c>
      <c r="O18" s="3">
        <v>64.366</v>
      </c>
      <c r="P18" s="3">
        <v>2.5379999999999998</v>
      </c>
      <c r="Q18" s="3">
        <v>85.765000000000001</v>
      </c>
      <c r="R18" s="3">
        <v>56.936</v>
      </c>
    </row>
    <row r="19" spans="1:18" x14ac:dyDescent="0.25">
      <c r="A19" s="1">
        <v>44651</v>
      </c>
      <c r="B19" s="3">
        <v>92.275000000000006</v>
      </c>
      <c r="C19" s="3">
        <v>30.699000000000002</v>
      </c>
      <c r="D19" s="3">
        <v>40.661999999999999</v>
      </c>
      <c r="E19" s="3">
        <v>73.534999999999997</v>
      </c>
      <c r="F19" s="3">
        <v>38.021999999999998</v>
      </c>
      <c r="G19" s="3">
        <v>65.2</v>
      </c>
      <c r="H19" s="3">
        <v>243.934</v>
      </c>
      <c r="I19" s="3">
        <v>153.06200000000001</v>
      </c>
      <c r="J19" s="3">
        <v>255.07900000000001</v>
      </c>
      <c r="K19" s="3">
        <v>82.233000000000004</v>
      </c>
      <c r="L19" s="3">
        <v>220.773</v>
      </c>
      <c r="M19" s="3">
        <v>181.05</v>
      </c>
      <c r="N19" s="3">
        <v>152.70099999999999</v>
      </c>
      <c r="O19" s="3">
        <v>102.39100000000001</v>
      </c>
      <c r="P19" s="3">
        <v>3.1949999999999998</v>
      </c>
      <c r="Q19" s="3">
        <v>88.9</v>
      </c>
      <c r="R19" s="3">
        <v>67.248000000000005</v>
      </c>
    </row>
    <row r="20" spans="1:18" x14ac:dyDescent="0.25">
      <c r="A20" s="1">
        <v>44742</v>
      </c>
      <c r="B20" s="3">
        <v>83.66</v>
      </c>
      <c r="C20" s="3">
        <v>32.881999999999998</v>
      </c>
      <c r="D20" s="3">
        <v>39.046999999999997</v>
      </c>
      <c r="E20" s="3">
        <v>68.635999999999996</v>
      </c>
      <c r="F20" s="3">
        <v>32.909999999999997</v>
      </c>
      <c r="G20" s="3">
        <v>55.3</v>
      </c>
      <c r="H20" s="3">
        <v>211.37899999999999</v>
      </c>
      <c r="I20" s="3">
        <v>136.73599999999999</v>
      </c>
      <c r="J20" s="3">
        <v>249.852</v>
      </c>
      <c r="K20" s="3">
        <v>64.001999999999995</v>
      </c>
      <c r="L20" s="3">
        <v>219.99600000000001</v>
      </c>
      <c r="M20" s="3">
        <v>206.9</v>
      </c>
      <c r="N20" s="3">
        <v>136.06100000000001</v>
      </c>
      <c r="O20" s="3">
        <v>84.033000000000001</v>
      </c>
      <c r="P20" s="3">
        <v>4.3949999999999996</v>
      </c>
      <c r="Q20" s="3">
        <v>77.834000000000003</v>
      </c>
      <c r="R20" s="3">
        <v>67.335999999999999</v>
      </c>
    </row>
    <row r="21" spans="1:18" x14ac:dyDescent="0.25">
      <c r="A21" s="1">
        <v>44834</v>
      </c>
      <c r="B21" s="3">
        <v>194.04499999999999</v>
      </c>
      <c r="C21" s="3">
        <v>53.834000000000003</v>
      </c>
      <c r="D21" s="3">
        <v>67.525000000000006</v>
      </c>
      <c r="E21" s="3">
        <v>101.27200000000001</v>
      </c>
      <c r="F21" s="3">
        <v>62.99</v>
      </c>
      <c r="G21" s="3">
        <v>105</v>
      </c>
      <c r="H21" s="3">
        <v>333.27699999999999</v>
      </c>
      <c r="I21" s="3">
        <v>231.90899999999999</v>
      </c>
      <c r="J21" s="3">
        <v>439.80700000000002</v>
      </c>
      <c r="K21" s="3">
        <v>118.113</v>
      </c>
      <c r="L21" s="3">
        <v>244.95699999999999</v>
      </c>
      <c r="M21" s="3">
        <v>283.45</v>
      </c>
      <c r="N21" s="3">
        <v>182.71799999999999</v>
      </c>
      <c r="O21" s="3">
        <v>111.16</v>
      </c>
      <c r="P21" s="3">
        <v>5.7779999999999996</v>
      </c>
      <c r="Q21" s="3">
        <v>128.577</v>
      </c>
      <c r="R21" s="3">
        <v>122.11199999999999</v>
      </c>
    </row>
    <row r="22" spans="1:18" x14ac:dyDescent="0.25">
      <c r="A22" s="1">
        <v>44925</v>
      </c>
      <c r="B22" s="3">
        <v>314.73500000000001</v>
      </c>
      <c r="C22" s="3">
        <v>59.753</v>
      </c>
      <c r="D22" s="3">
        <v>135.417</v>
      </c>
      <c r="E22" s="3">
        <v>145.27699999999999</v>
      </c>
      <c r="F22" s="3">
        <v>92.201999999999998</v>
      </c>
      <c r="G22" s="3">
        <v>136.44999999999999</v>
      </c>
      <c r="H22" s="3">
        <v>432.44</v>
      </c>
      <c r="I22" s="3">
        <v>339.83600000000001</v>
      </c>
      <c r="J22" s="3">
        <v>777.89800000000002</v>
      </c>
      <c r="K22" s="3">
        <v>278.89499999999998</v>
      </c>
      <c r="L22" s="3">
        <v>355.97500000000002</v>
      </c>
      <c r="M22" s="3">
        <v>439.9</v>
      </c>
      <c r="N22" s="3">
        <v>258.19400000000002</v>
      </c>
      <c r="O22" s="3">
        <v>155.40299999999999</v>
      </c>
      <c r="P22" s="3">
        <v>8.56</v>
      </c>
      <c r="Q22" s="3">
        <v>175.56800000000001</v>
      </c>
      <c r="R22" s="3">
        <v>186.422</v>
      </c>
    </row>
    <row r="23" spans="1:18" x14ac:dyDescent="0.25">
      <c r="A23" s="1">
        <v>45016</v>
      </c>
      <c r="B23" s="3">
        <v>444.435</v>
      </c>
      <c r="C23" s="3">
        <v>69.521000000000001</v>
      </c>
      <c r="D23" s="3">
        <v>146.61000000000001</v>
      </c>
      <c r="E23" s="3">
        <v>174.31299999999999</v>
      </c>
      <c r="F23" s="3">
        <v>104.983</v>
      </c>
      <c r="G23" s="3">
        <v>166.15</v>
      </c>
      <c r="H23" s="3">
        <v>555.48199999999997</v>
      </c>
      <c r="I23" s="3">
        <v>425.40199999999999</v>
      </c>
      <c r="J23" s="3">
        <v>791.03800000000001</v>
      </c>
      <c r="K23" s="3">
        <v>301.005</v>
      </c>
      <c r="L23" s="3">
        <v>394.72899999999998</v>
      </c>
      <c r="M23" s="3">
        <v>532.95000000000005</v>
      </c>
      <c r="N23" s="3">
        <v>348.464</v>
      </c>
      <c r="O23" s="3">
        <v>174.33500000000001</v>
      </c>
      <c r="P23" s="3">
        <v>9.9329999999999998</v>
      </c>
      <c r="Q23" s="3">
        <v>212.58099999999999</v>
      </c>
      <c r="R23" s="3">
        <v>192.94499999999999</v>
      </c>
    </row>
    <row r="24" spans="1:18" x14ac:dyDescent="0.25">
      <c r="A24" s="1">
        <v>45107</v>
      </c>
      <c r="B24" s="3">
        <v>764.72500000000002</v>
      </c>
      <c r="C24" s="3">
        <v>95.063999999999993</v>
      </c>
      <c r="D24" s="3">
        <v>253.953</v>
      </c>
      <c r="E24" s="3">
        <v>308.64800000000002</v>
      </c>
      <c r="F24" s="3">
        <v>211.791</v>
      </c>
      <c r="G24" s="3">
        <v>391.15</v>
      </c>
      <c r="H24" s="3">
        <v>1155.431</v>
      </c>
      <c r="I24" s="3">
        <v>807.48800000000006</v>
      </c>
      <c r="J24" s="3">
        <v>1356.778</v>
      </c>
      <c r="K24" s="3">
        <v>541.88599999999997</v>
      </c>
      <c r="L24" s="3">
        <v>624.92200000000003</v>
      </c>
      <c r="M24" s="3">
        <v>889.8</v>
      </c>
      <c r="N24" s="3">
        <v>741.04499999999996</v>
      </c>
      <c r="O24" s="3">
        <v>295.05700000000002</v>
      </c>
      <c r="P24" s="3">
        <v>14.775</v>
      </c>
      <c r="Q24" s="3">
        <v>361.48</v>
      </c>
      <c r="R24" s="3">
        <v>312.11399999999998</v>
      </c>
    </row>
    <row r="25" spans="1:18" x14ac:dyDescent="0.25">
      <c r="A25" s="1">
        <v>45198</v>
      </c>
      <c r="B25" s="3">
        <v>1002.18</v>
      </c>
      <c r="C25" s="3">
        <v>110.236</v>
      </c>
      <c r="D25" s="3">
        <v>325.51499999999999</v>
      </c>
      <c r="E25" s="3">
        <v>339.95800000000003</v>
      </c>
      <c r="F25" s="3">
        <v>203.803</v>
      </c>
      <c r="G25" s="3">
        <v>481.75</v>
      </c>
      <c r="H25" s="3">
        <v>1219.1199999999999</v>
      </c>
      <c r="I25" s="3">
        <v>827.72</v>
      </c>
      <c r="J25" s="3">
        <v>1606.1990000000001</v>
      </c>
      <c r="K25" s="3">
        <v>589.98500000000001</v>
      </c>
      <c r="L25" s="3">
        <v>779.02300000000002</v>
      </c>
      <c r="M25" s="3">
        <v>1209.4000000000001</v>
      </c>
      <c r="N25" s="3">
        <v>917.81500000000005</v>
      </c>
      <c r="O25" s="3">
        <v>408.69099999999997</v>
      </c>
      <c r="P25" s="3">
        <v>18.66</v>
      </c>
      <c r="Q25" s="3">
        <v>653.34900000000005</v>
      </c>
      <c r="R25" s="3">
        <v>416.87200000000001</v>
      </c>
    </row>
    <row r="26" spans="1:18" x14ac:dyDescent="0.25">
      <c r="A26" s="1">
        <v>45289</v>
      </c>
      <c r="B26" s="3">
        <v>1668.82</v>
      </c>
      <c r="C26" s="3">
        <v>206.334</v>
      </c>
      <c r="D26" s="3">
        <v>888.10299999999995</v>
      </c>
      <c r="E26" s="3">
        <v>738.41499999999996</v>
      </c>
      <c r="F26" s="3">
        <v>701.10199999999998</v>
      </c>
      <c r="G26" s="3">
        <v>942</v>
      </c>
      <c r="H26" s="3">
        <v>2218.0160000000001</v>
      </c>
      <c r="I26" s="3">
        <v>1436.2349999999999</v>
      </c>
      <c r="J26" s="3">
        <v>2835.317</v>
      </c>
      <c r="K26" s="3">
        <v>1399.5160000000001</v>
      </c>
      <c r="L26" s="3">
        <v>1378.088</v>
      </c>
      <c r="M26" s="3">
        <v>1931.6</v>
      </c>
      <c r="N26" s="3">
        <v>1439.02</v>
      </c>
      <c r="O26" s="3">
        <v>754.65899999999999</v>
      </c>
      <c r="P26" s="3">
        <v>32.534999999999997</v>
      </c>
      <c r="Q26" s="3">
        <v>915.55100000000004</v>
      </c>
      <c r="R26" s="3">
        <v>830.44500000000005</v>
      </c>
    </row>
    <row r="27" spans="1:18" x14ac:dyDescent="0.25">
      <c r="A27" s="1">
        <v>45380</v>
      </c>
      <c r="B27" s="3">
        <v>2184.3000000000002</v>
      </c>
      <c r="C27" s="3">
        <v>232.21100000000001</v>
      </c>
      <c r="D27" s="3">
        <v>964.06799999999998</v>
      </c>
      <c r="E27" s="3">
        <v>1205.6969999999999</v>
      </c>
      <c r="F27" s="3">
        <v>808.36699999999996</v>
      </c>
      <c r="G27" s="3">
        <v>977.4</v>
      </c>
      <c r="H27" s="3">
        <v>4628.2190000000001</v>
      </c>
      <c r="I27" s="3">
        <v>2482.6370000000002</v>
      </c>
      <c r="J27" s="3">
        <v>3145.3069999999998</v>
      </c>
      <c r="K27" s="3">
        <v>1642.337</v>
      </c>
      <c r="L27" s="3">
        <v>1660.0329999999999</v>
      </c>
      <c r="M27" s="3">
        <v>1887.35</v>
      </c>
      <c r="N27" s="3">
        <v>2428.1849999999999</v>
      </c>
      <c r="O27" s="3">
        <v>761.01099999999997</v>
      </c>
      <c r="P27" s="3">
        <v>46.808</v>
      </c>
      <c r="Q27" s="3">
        <v>883.22500000000002</v>
      </c>
      <c r="R27" s="3">
        <v>940.73</v>
      </c>
    </row>
    <row r="28" spans="1:18" x14ac:dyDescent="0.25">
      <c r="A28" s="1">
        <v>45471</v>
      </c>
      <c r="B28" s="3">
        <v>2723.855</v>
      </c>
      <c r="C28" s="3">
        <v>320.12099999999998</v>
      </c>
      <c r="D28" s="3">
        <v>1308.3</v>
      </c>
      <c r="E28" s="3">
        <v>1819.346</v>
      </c>
      <c r="F28" s="3">
        <v>981.81600000000003</v>
      </c>
      <c r="G28" s="3">
        <v>1101.25</v>
      </c>
      <c r="H28" s="3">
        <v>6799.4369999999999</v>
      </c>
      <c r="I28" s="3">
        <v>3779.95</v>
      </c>
      <c r="J28" s="3">
        <v>4953.6409999999996</v>
      </c>
      <c r="K28" s="3">
        <v>2352.569</v>
      </c>
      <c r="L28" s="3">
        <v>1953.6859999999999</v>
      </c>
      <c r="M28" s="3">
        <v>2408.75</v>
      </c>
      <c r="N28" s="3">
        <v>3762.5819999999999</v>
      </c>
      <c r="O28" s="3">
        <v>961.95899999999995</v>
      </c>
      <c r="P28" s="3">
        <v>84.573999999999998</v>
      </c>
      <c r="Q28" s="3">
        <v>981.69299999999998</v>
      </c>
      <c r="R28" s="3">
        <v>1149.2660000000001</v>
      </c>
    </row>
    <row r="29" spans="1:18" x14ac:dyDescent="0.25">
      <c r="A29" s="1">
        <v>45565</v>
      </c>
      <c r="B29" s="3">
        <v>2640</v>
      </c>
      <c r="C29" s="3">
        <v>295.40300000000002</v>
      </c>
      <c r="D29" s="3">
        <v>1357.8430000000001</v>
      </c>
      <c r="E29" s="3">
        <v>1750.174</v>
      </c>
      <c r="F29" s="3">
        <v>976.79600000000005</v>
      </c>
      <c r="G29" s="3">
        <v>1370</v>
      </c>
      <c r="H29" s="3">
        <v>7331.2089999999998</v>
      </c>
      <c r="I29" s="3">
        <v>4112.2160000000003</v>
      </c>
      <c r="J29" s="3">
        <v>4364.0190000000002</v>
      </c>
      <c r="K29" s="3">
        <v>2621.904</v>
      </c>
      <c r="L29" s="3">
        <v>1838.4469999999999</v>
      </c>
      <c r="M29" s="3">
        <v>2970</v>
      </c>
      <c r="N29" s="3">
        <v>4899.7359999999999</v>
      </c>
      <c r="O29" s="3">
        <v>924.46400000000006</v>
      </c>
      <c r="P29" s="3">
        <v>112.366</v>
      </c>
      <c r="Q29" s="3">
        <v>859.35400000000004</v>
      </c>
      <c r="R29" s="3">
        <v>1098.2909999999999</v>
      </c>
    </row>
    <row r="30" spans="1:18" x14ac:dyDescent="0.25">
      <c r="A30" s="1">
        <v>45657</v>
      </c>
      <c r="B30" s="3">
        <v>5030</v>
      </c>
      <c r="C30" s="3">
        <v>434.101</v>
      </c>
      <c r="D30" s="3">
        <v>2018.415</v>
      </c>
      <c r="E30" s="3">
        <v>3515.0970000000002</v>
      </c>
      <c r="F30" s="3">
        <v>2542.4070000000002</v>
      </c>
      <c r="G30" s="3">
        <v>2540</v>
      </c>
      <c r="H30" s="3">
        <v>10625.614</v>
      </c>
      <c r="I30" s="3">
        <v>7280.6450000000004</v>
      </c>
      <c r="J30" s="3">
        <v>6733.058</v>
      </c>
      <c r="K30" s="3">
        <v>3256.768</v>
      </c>
      <c r="L30" s="3">
        <v>3059.0949999999998</v>
      </c>
      <c r="M30" s="3">
        <v>4165</v>
      </c>
      <c r="N30" s="3">
        <v>6979.5479999999998</v>
      </c>
      <c r="O30" s="3">
        <v>1373.6489999999999</v>
      </c>
      <c r="P30" s="3">
        <v>110.15</v>
      </c>
      <c r="Q30" s="3">
        <v>889.29200000000003</v>
      </c>
      <c r="R30" s="3">
        <v>1644.971</v>
      </c>
    </row>
    <row r="31" spans="1:18" x14ac:dyDescent="0.25">
      <c r="A31" s="1">
        <v>45747</v>
      </c>
      <c r="B31" s="3">
        <v>4615</v>
      </c>
      <c r="C31" s="3">
        <v>301.73</v>
      </c>
      <c r="D31" s="3">
        <v>1515.646</v>
      </c>
      <c r="E31" s="3">
        <v>3377.4430000000002</v>
      </c>
      <c r="F31" s="3">
        <v>1921.64</v>
      </c>
      <c r="G31" s="3">
        <v>2010</v>
      </c>
      <c r="H31" s="3">
        <v>9215.0519999999997</v>
      </c>
      <c r="I31" s="3">
        <v>7656.2340000000004</v>
      </c>
      <c r="J31" s="3">
        <v>6665.9189999999999</v>
      </c>
      <c r="K31" s="3">
        <v>2840.3960000000002</v>
      </c>
      <c r="L31" s="3">
        <v>2660.5160000000001</v>
      </c>
      <c r="M31" s="3">
        <v>4045</v>
      </c>
      <c r="N31" s="3">
        <v>6731.4</v>
      </c>
      <c r="O31" s="3">
        <v>1336.896</v>
      </c>
      <c r="P31" s="3">
        <v>79.676000000000002</v>
      </c>
      <c r="Q31" s="3">
        <v>878.32500000000005</v>
      </c>
      <c r="R31" s="3">
        <v>1352.222</v>
      </c>
    </row>
    <row r="32" spans="1:18" x14ac:dyDescent="0.25">
      <c r="A32" s="1">
        <v>45838</v>
      </c>
      <c r="B32" s="3">
        <v>3807.5</v>
      </c>
      <c r="C32" s="3">
        <v>302.21600000000001</v>
      </c>
      <c r="D32" s="3">
        <v>1515.646</v>
      </c>
      <c r="E32" s="3">
        <v>2560</v>
      </c>
      <c r="F32" s="3">
        <v>1688.8520000000001</v>
      </c>
      <c r="G32" s="3">
        <v>1600</v>
      </c>
      <c r="H32" s="3">
        <v>7853.0140000000001</v>
      </c>
      <c r="I32" s="3">
        <v>6351.8540000000003</v>
      </c>
      <c r="J32" s="3">
        <v>6260</v>
      </c>
      <c r="K32" s="3">
        <v>2591.567</v>
      </c>
      <c r="L32" s="3">
        <v>2122.4340000000002</v>
      </c>
      <c r="M32" s="3">
        <v>3345</v>
      </c>
      <c r="N32" s="3">
        <v>5762.2049999999999</v>
      </c>
      <c r="O32" s="3">
        <v>1194.4770000000001</v>
      </c>
      <c r="P32" s="3">
        <v>52.8</v>
      </c>
      <c r="Q32" s="3">
        <v>716.81700000000001</v>
      </c>
      <c r="R32" s="3">
        <v>1310.4000000000001</v>
      </c>
    </row>
    <row r="33" spans="1:18" x14ac:dyDescent="0.25">
      <c r="A33" s="1">
        <v>45930</v>
      </c>
      <c r="B33" s="3">
        <v>3738</v>
      </c>
      <c r="C33" s="3">
        <v>294.82299999999998</v>
      </c>
      <c r="D33" s="3">
        <v>1520.8389999999999</v>
      </c>
      <c r="E33" s="3">
        <v>1517</v>
      </c>
      <c r="F33" s="3">
        <v>1111.904</v>
      </c>
      <c r="G33" s="3">
        <v>1191</v>
      </c>
      <c r="H33" s="3">
        <v>6147.692</v>
      </c>
      <c r="I33" s="3">
        <v>4137.7110000000002</v>
      </c>
      <c r="J33" s="3">
        <v>6470</v>
      </c>
      <c r="K33" s="3">
        <v>2074.1779999999999</v>
      </c>
      <c r="L33" s="3">
        <v>2227.0610000000001</v>
      </c>
      <c r="M33" s="3">
        <v>3682.5</v>
      </c>
      <c r="N33" s="3">
        <v>4069.9540000000002</v>
      </c>
      <c r="O33" s="3">
        <v>1298.3050000000001</v>
      </c>
      <c r="P33" s="3">
        <v>29.9</v>
      </c>
      <c r="Q33" s="3">
        <v>693.88699999999994</v>
      </c>
      <c r="R33" s="3">
        <v>1148.691</v>
      </c>
    </row>
    <row r="34" spans="1:18" x14ac:dyDescent="0.25">
      <c r="A34" s="1">
        <v>46022</v>
      </c>
      <c r="B34" s="3">
        <v>5460</v>
      </c>
      <c r="C34" s="3">
        <v>540.29399999999998</v>
      </c>
      <c r="D34" s="3">
        <v>3024.3470000000002</v>
      </c>
      <c r="E34" s="3">
        <v>3570</v>
      </c>
      <c r="F34" s="3">
        <v>2325.5949999999998</v>
      </c>
      <c r="G34" s="3">
        <v>2336</v>
      </c>
      <c r="H34" s="3">
        <v>13125.736999999999</v>
      </c>
      <c r="I34" s="3">
        <v>8967.5920000000006</v>
      </c>
      <c r="J34" s="3">
        <v>9325</v>
      </c>
      <c r="K34" s="3">
        <v>4580.9799999999996</v>
      </c>
      <c r="L34" s="3">
        <v>3527.5</v>
      </c>
      <c r="M34" s="3">
        <v>5260</v>
      </c>
      <c r="N34" s="3">
        <v>7937.1859999999997</v>
      </c>
      <c r="O34" s="3">
        <v>1918</v>
      </c>
      <c r="P34" s="3">
        <v>59.5</v>
      </c>
      <c r="Q34" s="3">
        <v>993.5</v>
      </c>
      <c r="R34" s="3">
        <v>2612.5</v>
      </c>
    </row>
    <row r="35" spans="1:18" x14ac:dyDescent="0.25">
      <c r="A35" s="1">
        <v>46112</v>
      </c>
      <c r="B35" s="3">
        <v>6750</v>
      </c>
      <c r="C35" s="3">
        <v>642.05399999999997</v>
      </c>
      <c r="D35" s="3">
        <v>3542.1419999999998</v>
      </c>
      <c r="E35" s="3">
        <v>2795</v>
      </c>
      <c r="F35" s="3">
        <v>1987.3679999999999</v>
      </c>
      <c r="G35" s="3">
        <v>2249</v>
      </c>
      <c r="H35" s="3">
        <v>11203.932000000001</v>
      </c>
      <c r="I35" s="3">
        <v>7847.1239999999998</v>
      </c>
      <c r="J35" s="3">
        <v>10150</v>
      </c>
      <c r="K35" s="3">
        <v>4390.2049999999999</v>
      </c>
      <c r="L35" s="3">
        <v>3430</v>
      </c>
      <c r="M35" s="3">
        <v>5200</v>
      </c>
      <c r="N35" s="3">
        <v>6736.9889999999996</v>
      </c>
      <c r="O35" s="3">
        <v>1872</v>
      </c>
      <c r="P35" s="3">
        <v>52.5</v>
      </c>
      <c r="Q35" s="3">
        <v>937</v>
      </c>
      <c r="R35" s="3">
        <v>2493</v>
      </c>
    </row>
    <row r="36" spans="1:18" x14ac:dyDescent="0.25">
      <c r="A36" s="1">
        <v>46203</v>
      </c>
      <c r="B36" s="3">
        <v>7112.5</v>
      </c>
      <c r="C36" s="3">
        <v>648.35799999999995</v>
      </c>
      <c r="D36" s="3">
        <v>3142.7</v>
      </c>
      <c r="E36" s="3">
        <v>3010</v>
      </c>
      <c r="F36" s="3">
        <v>1717.152</v>
      </c>
      <c r="G36" s="3">
        <v>1953</v>
      </c>
      <c r="H36" s="3">
        <v>14333.886</v>
      </c>
      <c r="I36" s="3">
        <v>10094.272999999999</v>
      </c>
      <c r="J36" s="3">
        <v>9250</v>
      </c>
      <c r="K36" s="3">
        <v>3813.1109999999999</v>
      </c>
      <c r="L36" s="3">
        <v>4045</v>
      </c>
      <c r="M36" s="3">
        <v>5120</v>
      </c>
      <c r="N36" s="3">
        <v>7764.4840000000004</v>
      </c>
      <c r="O36" s="3">
        <v>1756</v>
      </c>
      <c r="P36" s="3">
        <v>41.92</v>
      </c>
      <c r="Q36" s="3">
        <v>981</v>
      </c>
      <c r="R36" s="3">
        <v>2307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C6FF-2713-485A-B537-DC7471438AD6}">
  <dimension ref="A1:R36"/>
  <sheetViews>
    <sheetView topLeftCell="A5" workbookViewId="0">
      <selection sqref="A1:R36"/>
    </sheetView>
  </sheetViews>
  <sheetFormatPr defaultRowHeight="15" x14ac:dyDescent="0.25"/>
  <cols>
    <col min="1" max="1" width="10.425781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_xll.BDH(B$1,"RETURN_ON_ASSET","2017-12-29","","Dir=V","Per=Q","Days=A","Dts=S","cols=2;rows=35")</f>
        <v>43100</v>
      </c>
      <c r="B2" s="3">
        <v>2.6627999999999998</v>
      </c>
      <c r="C2" s="3" t="str">
        <f>_xll.BDH(C$1,"RETURN_ON_ASSET","2017-12-29","","Dir=V","Per=Q","Days=A","Dts=H","cols=1;rows=35")</f>
        <v>#N/A N/A</v>
      </c>
      <c r="D2" s="3">
        <f>_xll.BDH(D$1,"RETURN_ON_ASSET","2017-12-29","","Dir=V","Per=Q","Days=A","Dts=H","cols=1;rows=35")</f>
        <v>36.537199999999999</v>
      </c>
      <c r="E2" s="3">
        <f>_xll.BDH(E$1,"RETURN_ON_ASSET","2017-12-29","","Dir=V","Per=Q","Days=A","Dts=H","cols=1;rows=35")</f>
        <v>2.5030999999999999</v>
      </c>
      <c r="F2" s="3">
        <f>_xll.BDH(F$1,"RETURN_ON_ASSET","2017-12-29","","Dir=V","Per=Q","Days=A","Dts=H","cols=1;rows=35")</f>
        <v>18.0761</v>
      </c>
      <c r="G2" s="3">
        <f>_xll.BDH(G$1,"RETURN_ON_ASSET","2017-12-29","","Dir=V","Per=Q","Days=A","Dts=H","cols=1;rows=35")</f>
        <v>11.313499999999999</v>
      </c>
      <c r="H2" s="3">
        <f>_xll.BDH(H$1,"RETURN_ON_ASSET","2017-12-29","","Dir=V","Per=Q","Days=A","Dts=H","cols=1;rows=35")</f>
        <v>5.2789999999999999</v>
      </c>
      <c r="I2" s="3">
        <f>_xll.BDH(I$1,"RETURN_ON_ASSET","2017-12-29","","Dir=V","Per=Q","Days=A","Dts=H","cols=1;rows=35")</f>
        <v>2.4567000000000001</v>
      </c>
      <c r="J2" s="3">
        <f>_xll.BDH(J$1,"RETURN_ON_ASSET","2017-12-29","","Dir=V","Per=Q","Days=A","Dts=H","cols=1;rows=35")</f>
        <v>21.385999999999999</v>
      </c>
      <c r="K2" s="3">
        <f>_xll.BDH(K$1,"RETURN_ON_ASSET","2017-12-29","","Dir=V","Per=Q","Days=A","Dts=H","cols=1;rows=35")</f>
        <v>10.284800000000001</v>
      </c>
      <c r="L2" s="3">
        <f>_xll.BDH(L$1,"RETURN_ON_ASSET","2017-12-29","","Dir=V","Per=Q","Days=A","Dts=H","cols=1;rows=35")</f>
        <v>13.7072</v>
      </c>
      <c r="M2" s="3">
        <f>_xll.BDH(M$1,"RETURN_ON_ASSET","2017-12-29","","Dir=V","Per=Q","Days=A","Dts=H","cols=1;rows=35")</f>
        <v>11.112</v>
      </c>
      <c r="N2" s="3">
        <f>_xll.BDH(N$1,"RETURN_ON_ASSET","2017-12-29","","Dir=V","Per=Q","Days=A","Dts=H","cols=1;rows=35")</f>
        <v>3.1522000000000001</v>
      </c>
      <c r="O2" s="3">
        <f>_xll.BDH(O$1,"RETURN_ON_ASSET","2017-12-29","","Dir=V","Per=Q","Days=A","Dts=H","cols=1;rows=35")</f>
        <v>2.6518999999999999</v>
      </c>
      <c r="P2" s="3">
        <f>_xll.BDH(P$1,"RETURN_ON_ASSET","2017-12-29","","Dir=V","Per=Q","Days=A","Dts=H","cols=1;rows=35")</f>
        <v>-4.085</v>
      </c>
      <c r="Q2" s="3">
        <f>_xll.BDH(Q$1,"RETURN_ON_ASSET","2017-12-29","","Dir=V","Per=Q","Days=A","Dts=H","cols=1;rows=35")</f>
        <v>16.0031</v>
      </c>
      <c r="R2" s="3">
        <f>_xll.BDH(R$1,"RETURN_ON_ASSET","2017-12-29","","Dir=V","Per=Q","Days=A","Dts=H","cols=1;rows=35")</f>
        <v>22.481999999999999</v>
      </c>
    </row>
    <row r="3" spans="1:18" x14ac:dyDescent="0.25">
      <c r="A3" s="1">
        <v>43190</v>
      </c>
      <c r="B3" s="3">
        <v>3.8485999999999998</v>
      </c>
      <c r="C3" s="3">
        <v>6.5091000000000001</v>
      </c>
      <c r="D3" s="3">
        <v>72.520700000000005</v>
      </c>
      <c r="E3" s="3">
        <v>2.7942999999999998</v>
      </c>
      <c r="F3" s="3">
        <v>17.0502</v>
      </c>
      <c r="G3" s="3">
        <v>29.761800000000001</v>
      </c>
      <c r="H3" s="3">
        <v>5.8207000000000004</v>
      </c>
      <c r="I3" s="3">
        <v>2.6770999999999998</v>
      </c>
      <c r="J3" s="3">
        <v>56.3125</v>
      </c>
      <c r="K3" s="3">
        <v>14.6942</v>
      </c>
      <c r="L3" s="3">
        <v>14.1402</v>
      </c>
      <c r="M3" s="3">
        <v>19.632400000000001</v>
      </c>
      <c r="N3" s="3">
        <v>2.5701999999999998</v>
      </c>
      <c r="O3" s="3">
        <v>1.8986000000000001</v>
      </c>
      <c r="P3" s="3">
        <v>-8.1958000000000002</v>
      </c>
      <c r="Q3" s="3">
        <v>19.284400000000002</v>
      </c>
      <c r="R3" s="3">
        <v>76.359399999999994</v>
      </c>
    </row>
    <row r="4" spans="1:18" x14ac:dyDescent="0.25">
      <c r="A4" s="1">
        <v>43281</v>
      </c>
      <c r="B4" s="3">
        <v>3.3715000000000002</v>
      </c>
      <c r="C4" s="3">
        <v>5.7237</v>
      </c>
      <c r="D4" s="3">
        <v>68.059100000000001</v>
      </c>
      <c r="E4" s="3">
        <v>2.1461999999999999</v>
      </c>
      <c r="F4" s="3">
        <v>-1.5175000000000001</v>
      </c>
      <c r="G4" s="3">
        <v>28.818100000000001</v>
      </c>
      <c r="H4" s="3">
        <v>5.4382000000000001</v>
      </c>
      <c r="I4" s="3">
        <v>2.9998999999999998</v>
      </c>
      <c r="J4" s="3">
        <v>43.474499999999999</v>
      </c>
      <c r="K4" s="3">
        <v>16.409600000000001</v>
      </c>
      <c r="L4" s="3">
        <v>6.2028999999999996</v>
      </c>
      <c r="M4" s="3">
        <v>16.5565</v>
      </c>
      <c r="N4" s="3">
        <v>3.2774000000000001</v>
      </c>
      <c r="O4" s="3">
        <v>0.72699999999999998</v>
      </c>
      <c r="P4" s="3">
        <v>56.115900000000003</v>
      </c>
      <c r="Q4" s="3">
        <v>8.3388000000000009</v>
      </c>
      <c r="R4" s="3">
        <v>85.571100000000001</v>
      </c>
    </row>
    <row r="5" spans="1:18" x14ac:dyDescent="0.25">
      <c r="A5" s="1">
        <v>43373</v>
      </c>
      <c r="B5" s="3">
        <v>4.3498999999999999</v>
      </c>
      <c r="C5" s="3">
        <v>4.3762999999999996</v>
      </c>
      <c r="D5" s="3">
        <v>58.794199999999996</v>
      </c>
      <c r="E5" s="3">
        <v>2.0689000000000002</v>
      </c>
      <c r="F5" s="3">
        <v>2.0068000000000001</v>
      </c>
      <c r="G5" s="3">
        <v>34.447699999999998</v>
      </c>
      <c r="H5" s="3">
        <v>5.2519</v>
      </c>
      <c r="I5" s="3">
        <v>3.0196000000000001</v>
      </c>
      <c r="J5" s="3">
        <v>38.307299999999998</v>
      </c>
      <c r="K5" s="3">
        <v>17.206199999999999</v>
      </c>
      <c r="L5" s="3">
        <v>-5.2241999999999997</v>
      </c>
      <c r="M5" s="3">
        <v>9.3972999999999995</v>
      </c>
      <c r="N5" s="3">
        <v>3.2761</v>
      </c>
      <c r="O5" s="3">
        <v>0.94269999999999998</v>
      </c>
      <c r="P5" s="3">
        <v>68.355500000000006</v>
      </c>
      <c r="Q5" s="3">
        <v>16.643699999999999</v>
      </c>
      <c r="R5" s="3">
        <v>87.153400000000005</v>
      </c>
    </row>
    <row r="6" spans="1:18" x14ac:dyDescent="0.25">
      <c r="A6" s="1">
        <v>43465</v>
      </c>
      <c r="B6" s="3">
        <v>5.1493000000000002</v>
      </c>
      <c r="C6" s="3">
        <v>6.7930999999999999</v>
      </c>
      <c r="D6" s="3">
        <v>18.121300000000002</v>
      </c>
      <c r="E6" s="3">
        <v>2.2008999999999999</v>
      </c>
      <c r="F6" s="3">
        <v>0.92920000000000003</v>
      </c>
      <c r="G6" s="3">
        <v>6.2717999999999998</v>
      </c>
      <c r="H6" s="3">
        <v>5.5266000000000002</v>
      </c>
      <c r="I6" s="3">
        <v>3.3877000000000002</v>
      </c>
      <c r="J6" s="3">
        <v>24.024799999999999</v>
      </c>
      <c r="K6" s="3">
        <v>10.296799999999999</v>
      </c>
      <c r="L6" s="3">
        <v>1.9996</v>
      </c>
      <c r="M6" s="3">
        <v>6.2295999999999996</v>
      </c>
      <c r="N6" s="3">
        <v>3.2326999999999999</v>
      </c>
      <c r="O6" s="3">
        <v>-2.1532</v>
      </c>
      <c r="P6" s="3">
        <v>33.992199999999997</v>
      </c>
      <c r="Q6" s="3">
        <v>17.601600000000001</v>
      </c>
      <c r="R6" s="3">
        <v>38.837800000000001</v>
      </c>
    </row>
    <row r="7" spans="1:18" x14ac:dyDescent="0.25">
      <c r="A7" s="1">
        <v>43555</v>
      </c>
      <c r="B7" s="3">
        <v>2.8412000000000002</v>
      </c>
      <c r="C7" s="3">
        <v>6.8414999999999999</v>
      </c>
      <c r="D7" s="3">
        <v>29.414400000000001</v>
      </c>
      <c r="E7" s="3">
        <v>0.37740000000000001</v>
      </c>
      <c r="F7" s="3">
        <v>1.8320000000000001</v>
      </c>
      <c r="G7" s="3">
        <v>5.5042999999999997</v>
      </c>
      <c r="H7" s="3">
        <v>5.1820000000000004</v>
      </c>
      <c r="I7" s="3">
        <v>4.2281000000000004</v>
      </c>
      <c r="J7" s="3">
        <v>40.669499999999999</v>
      </c>
      <c r="K7" s="3">
        <v>15.8179</v>
      </c>
      <c r="L7" s="3">
        <v>-0.89939999999999998</v>
      </c>
      <c r="M7" s="3">
        <v>8.0120000000000005</v>
      </c>
      <c r="N7" s="3">
        <v>3.7212999999999998</v>
      </c>
      <c r="O7" s="3">
        <v>-2.4679000000000002</v>
      </c>
      <c r="P7" s="3">
        <v>55.009900000000002</v>
      </c>
      <c r="Q7" s="3">
        <v>19.188800000000001</v>
      </c>
      <c r="R7" s="3">
        <v>31.193100000000001</v>
      </c>
    </row>
    <row r="8" spans="1:18" x14ac:dyDescent="0.25">
      <c r="A8" s="1">
        <v>43646</v>
      </c>
      <c r="B8" s="3">
        <v>2.0339999999999998</v>
      </c>
      <c r="C8" s="3">
        <v>5.3456999999999999</v>
      </c>
      <c r="D8" s="3">
        <v>32.687199999999997</v>
      </c>
      <c r="E8" s="3">
        <v>0.74929999999999997</v>
      </c>
      <c r="F8" s="3">
        <v>12.6149</v>
      </c>
      <c r="G8" s="3">
        <v>28.325299999999999</v>
      </c>
      <c r="H8" s="3">
        <v>4.7640000000000002</v>
      </c>
      <c r="I8" s="3">
        <v>5.8619000000000003</v>
      </c>
      <c r="J8" s="3">
        <v>46.009500000000003</v>
      </c>
      <c r="K8" s="3">
        <v>16.243200000000002</v>
      </c>
      <c r="L8" s="3">
        <v>3.9790000000000001</v>
      </c>
      <c r="M8" s="3">
        <v>18.177</v>
      </c>
      <c r="N8" s="3">
        <v>5.4630000000000001</v>
      </c>
      <c r="O8" s="3">
        <v>-2.1305000000000001</v>
      </c>
      <c r="P8" s="3">
        <v>30.4499</v>
      </c>
      <c r="Q8" s="3">
        <v>12.4757</v>
      </c>
      <c r="R8" s="3">
        <v>19.1267</v>
      </c>
    </row>
    <row r="9" spans="1:18" x14ac:dyDescent="0.25">
      <c r="A9" s="1">
        <v>43738</v>
      </c>
      <c r="B9" s="3">
        <v>-0.48620000000000002</v>
      </c>
      <c r="C9" s="3">
        <v>4.8052999999999999</v>
      </c>
      <c r="D9" s="3">
        <v>26.374600000000001</v>
      </c>
      <c r="E9" s="3">
        <v>-1.3935999999999999</v>
      </c>
      <c r="F9" s="3">
        <v>7.2401999999999997</v>
      </c>
      <c r="G9" s="3">
        <v>20.263000000000002</v>
      </c>
      <c r="H9" s="3">
        <v>5.9705000000000004</v>
      </c>
      <c r="I9" s="3">
        <v>6.4481999999999999</v>
      </c>
      <c r="J9" s="3">
        <v>38.177199999999999</v>
      </c>
      <c r="K9" s="3">
        <v>15.172499999999999</v>
      </c>
      <c r="L9" s="3">
        <v>0.35820000000000002</v>
      </c>
      <c r="M9" s="3">
        <v>20.254000000000001</v>
      </c>
      <c r="N9" s="3">
        <v>4.7234999999999996</v>
      </c>
      <c r="O9" s="3">
        <v>-3.3094000000000001</v>
      </c>
      <c r="P9" s="3">
        <v>10.3683</v>
      </c>
      <c r="Q9" s="3">
        <v>6.6242000000000001</v>
      </c>
      <c r="R9" s="3">
        <v>14.893700000000001</v>
      </c>
    </row>
    <row r="10" spans="1:18" x14ac:dyDescent="0.25">
      <c r="A10" s="1">
        <v>43830</v>
      </c>
      <c r="B10" s="3">
        <v>-2.6541999999999999</v>
      </c>
      <c r="C10" s="3">
        <v>5.3789999999999996</v>
      </c>
      <c r="D10" s="3">
        <v>14.364100000000001</v>
      </c>
      <c r="E10" s="3">
        <v>-0.79659999999999997</v>
      </c>
      <c r="F10" s="3">
        <v>1.9443999999999999</v>
      </c>
      <c r="G10" s="3">
        <v>13.0435</v>
      </c>
      <c r="H10" s="3">
        <v>5.4320000000000004</v>
      </c>
      <c r="I10" s="3">
        <v>3.7963</v>
      </c>
      <c r="J10" s="3">
        <v>14.595800000000001</v>
      </c>
      <c r="K10" s="3">
        <v>7.8167999999999997</v>
      </c>
      <c r="L10" s="3">
        <v>-1.1833</v>
      </c>
      <c r="M10" s="3">
        <v>11.912000000000001</v>
      </c>
      <c r="N10" s="3">
        <v>4.4855</v>
      </c>
      <c r="O10" s="3">
        <v>-2.7161</v>
      </c>
      <c r="P10" s="3">
        <v>3.8919000000000001</v>
      </c>
      <c r="Q10" s="3">
        <v>5.0651000000000002</v>
      </c>
      <c r="R10" s="3">
        <v>11.228199999999999</v>
      </c>
    </row>
    <row r="11" spans="1:18" x14ac:dyDescent="0.25">
      <c r="A11" s="1">
        <v>43921</v>
      </c>
      <c r="B11" s="3">
        <v>-1.3935999999999999</v>
      </c>
      <c r="C11" s="3">
        <v>4.4970999999999997</v>
      </c>
      <c r="D11" s="3">
        <v>19.912700000000001</v>
      </c>
      <c r="E11" s="3">
        <v>0.34799999999999998</v>
      </c>
      <c r="F11" s="3">
        <v>2.8976999999999999</v>
      </c>
      <c r="G11" s="3">
        <v>14.914199999999999</v>
      </c>
      <c r="H11" s="3">
        <v>6.9988999999999999</v>
      </c>
      <c r="I11" s="3">
        <v>3.4336000000000002</v>
      </c>
      <c r="J11" s="3">
        <v>20.335699999999999</v>
      </c>
      <c r="K11" s="3">
        <v>10.5579</v>
      </c>
      <c r="L11" s="3">
        <v>-0.95589999999999997</v>
      </c>
      <c r="M11" s="3">
        <v>9.1858000000000004</v>
      </c>
      <c r="N11" s="3">
        <v>4.0144000000000002</v>
      </c>
      <c r="O11" s="3">
        <v>-3.1238000000000001</v>
      </c>
      <c r="P11" s="3">
        <v>1.0889</v>
      </c>
      <c r="Q11" s="3">
        <v>0.65859999999999996</v>
      </c>
      <c r="R11" s="3">
        <v>11.652699999999999</v>
      </c>
    </row>
    <row r="12" spans="1:18" x14ac:dyDescent="0.25">
      <c r="A12" s="1">
        <v>44012</v>
      </c>
      <c r="B12" s="3">
        <v>-7.1291000000000002</v>
      </c>
      <c r="C12" s="3">
        <v>3.8224999999999998</v>
      </c>
      <c r="D12" s="3">
        <v>20.847899999999999</v>
      </c>
      <c r="E12" s="3">
        <v>0.60619999999999996</v>
      </c>
      <c r="F12" s="3">
        <v>-4.3337000000000003</v>
      </c>
      <c r="G12" s="3">
        <v>-1.2424999999999999</v>
      </c>
      <c r="H12" s="3">
        <v>7.3124000000000002</v>
      </c>
      <c r="I12" s="3">
        <v>2.8111999999999999</v>
      </c>
      <c r="J12" s="3">
        <v>16.131599999999999</v>
      </c>
      <c r="K12" s="3">
        <v>12.414899999999999</v>
      </c>
      <c r="L12" s="3">
        <v>-2.4780000000000002</v>
      </c>
      <c r="M12" s="3">
        <v>3.2551999999999999</v>
      </c>
      <c r="N12" s="3">
        <v>3.5108000000000001</v>
      </c>
      <c r="O12" s="3">
        <v>1.0049999999999999</v>
      </c>
      <c r="P12" s="3">
        <v>-2.7578</v>
      </c>
      <c r="Q12" s="3">
        <v>-4.4444999999999997</v>
      </c>
      <c r="R12" s="3">
        <v>11.986499999999999</v>
      </c>
    </row>
    <row r="13" spans="1:18" x14ac:dyDescent="0.25">
      <c r="A13" s="1">
        <v>44104</v>
      </c>
      <c r="B13" s="3">
        <v>-7.6691000000000003</v>
      </c>
      <c r="C13" s="3">
        <v>3.036</v>
      </c>
      <c r="D13" s="3">
        <v>20.300899999999999</v>
      </c>
      <c r="E13" s="3">
        <v>2.3774000000000002</v>
      </c>
      <c r="F13" s="3">
        <v>-1.4642999999999999</v>
      </c>
      <c r="G13" s="3">
        <v>-1.2529999999999999</v>
      </c>
      <c r="H13" s="3">
        <v>6.3148999999999997</v>
      </c>
      <c r="I13" s="3">
        <v>2.1556999999999999</v>
      </c>
      <c r="J13" s="3">
        <v>14.827</v>
      </c>
      <c r="K13" s="3">
        <v>10.347</v>
      </c>
      <c r="L13" s="3">
        <v>1.3918999999999999</v>
      </c>
      <c r="M13" s="3">
        <v>2.2298</v>
      </c>
      <c r="N13" s="3">
        <v>3.956</v>
      </c>
      <c r="O13" s="3">
        <v>3.5529000000000002</v>
      </c>
      <c r="P13" s="3">
        <v>4.5312999999999999</v>
      </c>
      <c r="Q13" s="3">
        <v>-1.7467999999999999</v>
      </c>
      <c r="R13" s="3">
        <v>8.4472000000000005</v>
      </c>
    </row>
    <row r="14" spans="1:18" x14ac:dyDescent="0.25">
      <c r="A14" s="1">
        <v>44196</v>
      </c>
      <c r="B14" s="3">
        <v>-3.9839000000000002</v>
      </c>
      <c r="C14" s="3">
        <v>2.754</v>
      </c>
      <c r="D14" s="3">
        <v>12.4595</v>
      </c>
      <c r="E14" s="3">
        <v>1.5638000000000001</v>
      </c>
      <c r="F14" s="3">
        <v>-8.4672000000000001</v>
      </c>
      <c r="G14" s="3">
        <v>-12.848000000000001</v>
      </c>
      <c r="H14" s="3">
        <v>3.8378999999999999</v>
      </c>
      <c r="I14" s="3">
        <v>1.8967000000000001</v>
      </c>
      <c r="J14" s="3">
        <v>4.0186000000000002</v>
      </c>
      <c r="K14" s="3">
        <v>4.3194999999999997</v>
      </c>
      <c r="L14" s="3">
        <v>-1.0818000000000001</v>
      </c>
      <c r="M14" s="3">
        <v>-8.3641000000000005</v>
      </c>
      <c r="N14" s="3">
        <v>3.1442000000000001</v>
      </c>
      <c r="O14" s="3">
        <v>2.0001000000000002</v>
      </c>
      <c r="P14" s="3">
        <v>3.1425999999999998</v>
      </c>
      <c r="Q14" s="3">
        <v>-3.4973999999999998</v>
      </c>
      <c r="R14" s="3">
        <v>5.4847000000000001</v>
      </c>
    </row>
    <row r="15" spans="1:18" x14ac:dyDescent="0.25">
      <c r="A15" s="1">
        <v>44286</v>
      </c>
      <c r="B15" s="3">
        <v>-4.1601999999999997</v>
      </c>
      <c r="C15" s="3">
        <v>2.0116000000000001</v>
      </c>
      <c r="D15" s="3">
        <v>11.1698</v>
      </c>
      <c r="E15" s="3">
        <v>1.7081999999999999</v>
      </c>
      <c r="F15" s="3">
        <v>-13.394600000000001</v>
      </c>
      <c r="G15" s="3">
        <v>-12.8544</v>
      </c>
      <c r="H15" s="3">
        <v>4.3499999999999996</v>
      </c>
      <c r="I15" s="3">
        <v>2.9361000000000002</v>
      </c>
      <c r="J15" s="3">
        <v>5.0632000000000001</v>
      </c>
      <c r="K15" s="3">
        <v>2.7031999999999998</v>
      </c>
      <c r="L15" s="3">
        <v>8.8400000000000006E-2</v>
      </c>
      <c r="M15" s="3">
        <v>-7.1657999999999999</v>
      </c>
      <c r="N15" s="3">
        <v>2.823</v>
      </c>
      <c r="O15" s="3">
        <v>3.0760999999999998</v>
      </c>
      <c r="P15" s="3">
        <v>12.020200000000001</v>
      </c>
      <c r="Q15" s="3">
        <v>0.15079999999999999</v>
      </c>
      <c r="R15" s="3">
        <v>6.4020000000000001</v>
      </c>
    </row>
    <row r="16" spans="1:18" x14ac:dyDescent="0.25">
      <c r="A16" s="1">
        <v>44377</v>
      </c>
      <c r="B16" s="3">
        <v>-1.9956</v>
      </c>
      <c r="C16" s="3">
        <v>1.4437</v>
      </c>
      <c r="D16" s="3">
        <v>-0.50770000000000004</v>
      </c>
      <c r="E16" s="3">
        <v>0.82150000000000001</v>
      </c>
      <c r="F16" s="3">
        <v>-18.883500000000002</v>
      </c>
      <c r="G16" s="3">
        <v>-20.8903</v>
      </c>
      <c r="H16" s="3">
        <v>3.633</v>
      </c>
      <c r="I16" s="3">
        <v>3.4142999999999999</v>
      </c>
      <c r="J16" s="3">
        <v>6.7690000000000001</v>
      </c>
      <c r="K16" s="3">
        <v>-9.3506999999999998</v>
      </c>
      <c r="L16" s="3">
        <v>-1.2019</v>
      </c>
      <c r="M16" s="3">
        <v>-6.2286999999999999</v>
      </c>
      <c r="N16" s="3">
        <v>2.9868000000000001</v>
      </c>
      <c r="O16" s="3">
        <v>-3.2713000000000001</v>
      </c>
      <c r="P16" s="3">
        <v>5.4844999999999997</v>
      </c>
      <c r="Q16" s="3">
        <v>4.7256999999999998</v>
      </c>
      <c r="R16" s="3">
        <v>-0.71419999999999995</v>
      </c>
    </row>
    <row r="17" spans="1:18" x14ac:dyDescent="0.25">
      <c r="A17" s="1">
        <v>44469</v>
      </c>
      <c r="B17" s="3">
        <v>0.97870000000000001</v>
      </c>
      <c r="C17" s="3">
        <v>0.99570000000000003</v>
      </c>
      <c r="D17" s="3">
        <v>-1.2941</v>
      </c>
      <c r="E17" s="3">
        <v>0.24970000000000001</v>
      </c>
      <c r="F17" s="3">
        <v>-13.8361</v>
      </c>
      <c r="G17" s="3">
        <v>-19.289400000000001</v>
      </c>
      <c r="H17" s="3">
        <v>3.9487999999999999</v>
      </c>
      <c r="I17" s="3">
        <v>3.2934999999999999</v>
      </c>
      <c r="J17" s="3">
        <v>11.0701</v>
      </c>
      <c r="K17" s="3">
        <v>-11.727399999999999</v>
      </c>
      <c r="L17" s="3">
        <v>4.82E-2</v>
      </c>
      <c r="M17" s="3">
        <v>-4.0369000000000002</v>
      </c>
      <c r="N17" s="3">
        <v>3.5554000000000001</v>
      </c>
      <c r="O17" s="3">
        <v>-6.8137999999999996</v>
      </c>
      <c r="P17" s="3">
        <v>6.9298999999999999</v>
      </c>
      <c r="Q17" s="3">
        <v>15.084099999999999</v>
      </c>
      <c r="R17" s="3">
        <v>0.17760000000000001</v>
      </c>
    </row>
    <row r="18" spans="1:18" x14ac:dyDescent="0.25">
      <c r="A18" s="1">
        <v>44561</v>
      </c>
      <c r="B18" s="3">
        <v>1.1900000000000001E-2</v>
      </c>
      <c r="C18" s="3">
        <v>0.64939999999999998</v>
      </c>
      <c r="D18" s="3">
        <v>-2.8077000000000001</v>
      </c>
      <c r="E18" s="3">
        <v>-0.48459999999999998</v>
      </c>
      <c r="F18" s="3">
        <v>-13.8361</v>
      </c>
      <c r="G18" s="3">
        <v>-12.1562</v>
      </c>
      <c r="H18" s="3">
        <v>3.2012</v>
      </c>
      <c r="I18" s="3">
        <v>2.4072</v>
      </c>
      <c r="J18" s="3">
        <v>13.833299999999999</v>
      </c>
      <c r="K18" s="3">
        <v>-11.0205</v>
      </c>
      <c r="L18" s="3">
        <v>1.4053</v>
      </c>
      <c r="M18" s="3">
        <v>6.7057000000000002</v>
      </c>
      <c r="N18" s="3">
        <v>2.4447999999999999</v>
      </c>
      <c r="O18" s="3">
        <v>7.4248000000000003</v>
      </c>
      <c r="P18" s="3">
        <v>2.2313999999999998</v>
      </c>
      <c r="Q18" s="3">
        <v>23.616900000000001</v>
      </c>
      <c r="R18" s="3">
        <v>-0.33900000000000002</v>
      </c>
    </row>
    <row r="19" spans="1:18" x14ac:dyDescent="0.25">
      <c r="A19" s="1">
        <v>44651</v>
      </c>
      <c r="B19" s="3">
        <v>1.2306999999999999</v>
      </c>
      <c r="C19" s="3">
        <v>0.55720000000000003</v>
      </c>
      <c r="D19" s="3">
        <v>-4.7191999999999998</v>
      </c>
      <c r="E19" s="3">
        <v>-0.95609999999999995</v>
      </c>
      <c r="F19" s="3">
        <v>-0.95679999999999998</v>
      </c>
      <c r="G19" s="3">
        <v>-18.925799999999999</v>
      </c>
      <c r="H19" s="3">
        <v>6.1489000000000003</v>
      </c>
      <c r="I19" s="3">
        <v>4.2424999999999997</v>
      </c>
      <c r="J19" s="3">
        <v>23.9925</v>
      </c>
      <c r="K19" s="3">
        <v>-19.618600000000001</v>
      </c>
      <c r="L19" s="3">
        <v>5.4653</v>
      </c>
      <c r="M19" s="3">
        <v>7.5591999999999997</v>
      </c>
      <c r="N19" s="3">
        <v>4.4492000000000003</v>
      </c>
      <c r="O19" s="3">
        <v>4.6588000000000003</v>
      </c>
      <c r="P19" s="3">
        <v>4.2628000000000004</v>
      </c>
      <c r="Q19" s="3">
        <v>19.288</v>
      </c>
      <c r="R19" s="3">
        <v>1.5208999999999999</v>
      </c>
    </row>
    <row r="20" spans="1:18" x14ac:dyDescent="0.25">
      <c r="A20" s="1">
        <v>44742</v>
      </c>
      <c r="B20" s="3">
        <v>6.4059999999999997</v>
      </c>
      <c r="C20" s="3">
        <v>0.84740000000000004</v>
      </c>
      <c r="D20" s="3">
        <v>5.5223000000000004</v>
      </c>
      <c r="E20" s="3">
        <v>-1.5663</v>
      </c>
      <c r="F20" s="3">
        <v>11.1167</v>
      </c>
      <c r="G20" s="3">
        <v>-14.706899999999999</v>
      </c>
      <c r="H20" s="3">
        <v>5.4854000000000003</v>
      </c>
      <c r="I20" s="3">
        <v>3.9401000000000002</v>
      </c>
      <c r="J20" s="3">
        <v>23.881599999999999</v>
      </c>
      <c r="K20" s="3">
        <v>-12.9693</v>
      </c>
      <c r="L20" s="3">
        <v>6.5627000000000004</v>
      </c>
      <c r="M20" s="3">
        <v>8.1440999999999999</v>
      </c>
      <c r="N20" s="3">
        <v>3.5516999999999999</v>
      </c>
      <c r="O20" s="3">
        <v>8.2886000000000006</v>
      </c>
      <c r="P20" s="3">
        <v>10.5329</v>
      </c>
      <c r="Q20" s="3">
        <v>19.2713</v>
      </c>
      <c r="R20" s="3">
        <v>6.7637</v>
      </c>
    </row>
    <row r="21" spans="1:18" x14ac:dyDescent="0.25">
      <c r="A21" s="1">
        <v>44834</v>
      </c>
      <c r="B21" s="3">
        <v>7.8859000000000004</v>
      </c>
      <c r="C21" s="3">
        <v>0.84760000000000002</v>
      </c>
      <c r="D21" s="3">
        <v>4.4207999999999998</v>
      </c>
      <c r="E21" s="3">
        <v>-1.6718</v>
      </c>
      <c r="F21" s="3">
        <v>9.9928000000000008</v>
      </c>
      <c r="G21" s="3">
        <v>-13.970599999999999</v>
      </c>
      <c r="H21" s="3">
        <v>5.0780000000000003</v>
      </c>
      <c r="I21" s="3">
        <v>4.9269999999999996</v>
      </c>
      <c r="J21" s="3">
        <v>21.3736</v>
      </c>
      <c r="K21" s="3">
        <v>-13.737299999999999</v>
      </c>
      <c r="L21" s="3">
        <v>-31.593399999999999</v>
      </c>
      <c r="M21" s="3">
        <v>8.9164999999999992</v>
      </c>
      <c r="N21" s="3">
        <v>3.5066000000000002</v>
      </c>
      <c r="O21" s="3">
        <v>15.376300000000001</v>
      </c>
      <c r="P21" s="3">
        <v>16.454000000000001</v>
      </c>
      <c r="Q21" s="3">
        <v>28.2852</v>
      </c>
      <c r="R21" s="3">
        <v>8.2178000000000004</v>
      </c>
    </row>
    <row r="22" spans="1:18" x14ac:dyDescent="0.25">
      <c r="A22" s="1">
        <v>44926</v>
      </c>
      <c r="B22" s="3">
        <v>8.2844999999999995</v>
      </c>
      <c r="C22" s="3">
        <v>1.3440000000000001</v>
      </c>
      <c r="D22" s="3">
        <v>1.8218000000000001</v>
      </c>
      <c r="E22" s="3">
        <v>-0.82489999999999997</v>
      </c>
      <c r="F22" s="3">
        <v>9.9928000000000008</v>
      </c>
      <c r="G22" s="3">
        <v>-6.3551000000000002</v>
      </c>
      <c r="H22" s="3">
        <v>3.64</v>
      </c>
      <c r="I22" s="3">
        <v>3.6242000000000001</v>
      </c>
      <c r="J22" s="3">
        <v>10.120200000000001</v>
      </c>
      <c r="K22" s="3">
        <v>-5.6261000000000001</v>
      </c>
      <c r="L22" s="3">
        <v>-17.596599999999999</v>
      </c>
      <c r="M22" s="3">
        <v>10.4955</v>
      </c>
      <c r="N22" s="3">
        <v>2.66</v>
      </c>
      <c r="O22" s="3">
        <v>10.3729</v>
      </c>
      <c r="P22" s="3">
        <v>7.9227999999999996</v>
      </c>
      <c r="Q22" s="3">
        <v>21.6249</v>
      </c>
      <c r="R22" s="3">
        <v>6.6196999999999999</v>
      </c>
    </row>
    <row r="23" spans="1:18" x14ac:dyDescent="0.25">
      <c r="A23" s="1">
        <v>45016</v>
      </c>
      <c r="B23" s="3">
        <v>7.9211999999999998</v>
      </c>
      <c r="C23" s="3">
        <v>2.9661</v>
      </c>
      <c r="D23" s="3">
        <v>20.633500000000002</v>
      </c>
      <c r="E23" s="3">
        <v>-1.538</v>
      </c>
      <c r="F23" s="3">
        <v>12.367599999999999</v>
      </c>
      <c r="G23" s="3">
        <v>-21.7592</v>
      </c>
      <c r="H23" s="3">
        <v>10.0495</v>
      </c>
      <c r="I23" s="3">
        <v>11.144600000000001</v>
      </c>
      <c r="J23" s="3">
        <v>24.125299999999999</v>
      </c>
      <c r="K23" s="3">
        <v>16.513400000000001</v>
      </c>
      <c r="L23" s="3">
        <v>-35.775500000000001</v>
      </c>
      <c r="M23" s="3">
        <v>10.896699999999999</v>
      </c>
      <c r="N23" s="3">
        <v>8.6477000000000004</v>
      </c>
      <c r="O23" s="3">
        <v>22.015899999999998</v>
      </c>
      <c r="P23" s="3">
        <v>33.636699999999998</v>
      </c>
      <c r="Q23" s="3">
        <v>16.312000000000001</v>
      </c>
      <c r="R23" s="3">
        <v>11.8201</v>
      </c>
    </row>
    <row r="24" spans="1:18" x14ac:dyDescent="0.25">
      <c r="A24" s="1">
        <v>45107</v>
      </c>
      <c r="B24" s="3">
        <v>6.0460000000000003</v>
      </c>
      <c r="C24" s="3">
        <v>3.8837000000000002</v>
      </c>
      <c r="D24" s="3">
        <v>22.009899999999998</v>
      </c>
      <c r="E24" s="3">
        <v>2.2488000000000001</v>
      </c>
      <c r="F24" s="3">
        <v>84.71</v>
      </c>
      <c r="G24" s="3">
        <v>-18.267800000000001</v>
      </c>
      <c r="H24" s="3">
        <v>14.679500000000001</v>
      </c>
      <c r="I24" s="3">
        <v>12.880599999999999</v>
      </c>
      <c r="J24" s="3">
        <v>26.691400000000002</v>
      </c>
      <c r="K24" s="3">
        <v>20.551400000000001</v>
      </c>
      <c r="L24" s="3">
        <v>-30.1967</v>
      </c>
      <c r="M24" s="3">
        <v>12.388299999999999</v>
      </c>
      <c r="N24" s="3">
        <v>12.6518</v>
      </c>
      <c r="O24" s="3">
        <v>6.9695999999999998</v>
      </c>
      <c r="P24" s="3">
        <v>34.908299999999997</v>
      </c>
      <c r="Q24" s="3">
        <v>23.562999999999999</v>
      </c>
      <c r="R24" s="3">
        <v>12.9054</v>
      </c>
    </row>
    <row r="25" spans="1:18" x14ac:dyDescent="0.25">
      <c r="A25" s="1">
        <v>45199</v>
      </c>
      <c r="B25" s="3">
        <v>2.2006000000000001</v>
      </c>
      <c r="C25" s="3">
        <v>2.8108</v>
      </c>
      <c r="D25" s="3">
        <v>19.648399999999999</v>
      </c>
      <c r="E25" s="3">
        <v>5.2157</v>
      </c>
      <c r="F25" s="3">
        <v>50.266500000000001</v>
      </c>
      <c r="G25" s="3">
        <v>20.1313</v>
      </c>
      <c r="H25" s="3">
        <v>12.293799999999999</v>
      </c>
      <c r="I25" s="3">
        <v>10.8917</v>
      </c>
      <c r="J25" s="3">
        <v>20.524699999999999</v>
      </c>
      <c r="K25" s="3">
        <v>15.559699999999999</v>
      </c>
      <c r="L25" s="3">
        <v>-1.6513</v>
      </c>
      <c r="M25" s="3">
        <v>11.395200000000001</v>
      </c>
      <c r="N25" s="3">
        <v>13.1708</v>
      </c>
      <c r="O25" s="3">
        <v>27.144100000000002</v>
      </c>
      <c r="P25" s="3">
        <v>24.150400000000001</v>
      </c>
      <c r="Q25" s="3">
        <v>64.567800000000005</v>
      </c>
      <c r="R25" s="3">
        <v>10.360799999999999</v>
      </c>
    </row>
    <row r="26" spans="1:18" x14ac:dyDescent="0.25">
      <c r="A26" s="1">
        <v>45291</v>
      </c>
      <c r="B26" s="3">
        <v>-12.5954</v>
      </c>
      <c r="C26" s="3">
        <v>1.2017</v>
      </c>
      <c r="D26" s="3">
        <v>1.3882000000000001</v>
      </c>
      <c r="E26" s="3">
        <v>3.2555000000000001</v>
      </c>
      <c r="F26" s="3">
        <v>25.7242</v>
      </c>
      <c r="G26" s="3">
        <v>8.6300000000000008</v>
      </c>
      <c r="H26" s="3">
        <v>7.2701000000000002</v>
      </c>
      <c r="I26" s="3">
        <v>3.3498999999999999</v>
      </c>
      <c r="J26" s="3">
        <v>1.6754</v>
      </c>
      <c r="K26" s="3">
        <v>13.4839</v>
      </c>
      <c r="L26" s="3">
        <v>-6.9116</v>
      </c>
      <c r="M26" s="3">
        <v>1.5755999999999999</v>
      </c>
      <c r="N26" s="3">
        <v>4.1466000000000003</v>
      </c>
      <c r="O26" s="3">
        <v>14.4299</v>
      </c>
      <c r="P26" s="3">
        <v>-14.6496</v>
      </c>
      <c r="Q26" s="3">
        <v>33.749400000000001</v>
      </c>
      <c r="R26" s="3">
        <v>15.0792</v>
      </c>
    </row>
    <row r="27" spans="1:18" x14ac:dyDescent="0.25">
      <c r="A27" s="1">
        <v>45382</v>
      </c>
      <c r="B27" s="3">
        <v>-12.601800000000001</v>
      </c>
      <c r="C27" s="3">
        <v>2.851</v>
      </c>
      <c r="D27" s="3">
        <v>0.39379999999999998</v>
      </c>
      <c r="E27" s="3">
        <v>6.3761999999999999</v>
      </c>
      <c r="F27" s="3">
        <v>52.8127</v>
      </c>
      <c r="G27" s="3">
        <v>23.392600000000002</v>
      </c>
      <c r="H27" s="3">
        <v>18.093499999999999</v>
      </c>
      <c r="I27" s="3">
        <v>6.1444999999999999</v>
      </c>
      <c r="J27" s="3">
        <v>4.9562999999999997</v>
      </c>
      <c r="K27" s="3">
        <v>4.9699</v>
      </c>
      <c r="L27" s="3">
        <v>6.6772999999999998</v>
      </c>
      <c r="M27" s="3">
        <v>8.4472000000000005</v>
      </c>
      <c r="N27" s="3">
        <v>10.1219</v>
      </c>
      <c r="O27" s="3">
        <v>4.8529</v>
      </c>
      <c r="P27" s="3">
        <v>20.201799999999999</v>
      </c>
      <c r="Q27" s="3">
        <v>37.726500000000001</v>
      </c>
      <c r="R27" s="3">
        <v>29.2194</v>
      </c>
    </row>
    <row r="28" spans="1:18" x14ac:dyDescent="0.25">
      <c r="A28" s="1">
        <v>45473</v>
      </c>
      <c r="B28" s="3">
        <v>-11.496700000000001</v>
      </c>
      <c r="C28" s="3">
        <v>3.2172000000000001</v>
      </c>
      <c r="D28" s="3">
        <v>2.2559</v>
      </c>
      <c r="E28" s="3">
        <v>4.8846999999999996</v>
      </c>
      <c r="F28" s="3">
        <v>27.4239</v>
      </c>
      <c r="G28" s="3">
        <v>23.721299999999999</v>
      </c>
      <c r="H28" s="3">
        <v>9.5044000000000004</v>
      </c>
      <c r="I28" s="3">
        <v>5.7530000000000001</v>
      </c>
      <c r="J28" s="3">
        <v>10.960100000000001</v>
      </c>
      <c r="K28" s="3">
        <v>8.1652000000000005</v>
      </c>
      <c r="L28" s="3">
        <v>6.8343999999999996</v>
      </c>
      <c r="M28" s="3">
        <v>8.9062000000000001</v>
      </c>
      <c r="N28" s="3">
        <v>10.9962</v>
      </c>
      <c r="O28" s="3">
        <v>2.6432000000000002</v>
      </c>
      <c r="P28" s="3">
        <v>15.322699999999999</v>
      </c>
      <c r="Q28" s="3">
        <v>7.5248999999999997</v>
      </c>
      <c r="R28" s="3">
        <v>24.5198</v>
      </c>
    </row>
    <row r="29" spans="1:18" x14ac:dyDescent="0.25">
      <c r="A29" s="1">
        <v>45565</v>
      </c>
      <c r="B29" s="3">
        <v>-5.2217000000000002</v>
      </c>
      <c r="C29" s="3">
        <v>2.1937000000000002</v>
      </c>
      <c r="D29" s="3">
        <v>5.5854999999999997</v>
      </c>
      <c r="E29" s="3">
        <v>3.3723000000000001</v>
      </c>
      <c r="F29" s="3">
        <v>34.002499999999998</v>
      </c>
      <c r="G29" s="3">
        <v>16.011099999999999</v>
      </c>
      <c r="H29" s="3">
        <v>8.3465000000000007</v>
      </c>
      <c r="I29" s="3">
        <v>5.6729000000000003</v>
      </c>
      <c r="J29" s="3">
        <v>11.9863</v>
      </c>
      <c r="K29" s="3">
        <v>12.231999999999999</v>
      </c>
      <c r="L29" s="3">
        <v>4.2766000000000002</v>
      </c>
      <c r="M29" s="3">
        <v>9.8500999999999994</v>
      </c>
      <c r="N29" s="3">
        <v>8.7134</v>
      </c>
      <c r="O29" s="3">
        <v>-1.6805000000000001</v>
      </c>
      <c r="P29" s="3">
        <v>0.31219999999999998</v>
      </c>
      <c r="Q29" s="3">
        <v>11.557499999999999</v>
      </c>
      <c r="R29" s="3">
        <v>22.869</v>
      </c>
    </row>
    <row r="30" spans="1:18" x14ac:dyDescent="0.25">
      <c r="A30" s="1">
        <v>45657</v>
      </c>
      <c r="B30" s="3">
        <v>8.6354000000000006</v>
      </c>
      <c r="C30" s="3">
        <v>1.2371000000000001</v>
      </c>
      <c r="D30" s="3">
        <v>8.9095999999999993</v>
      </c>
      <c r="E30" s="3">
        <v>1.5691999999999999</v>
      </c>
      <c r="F30" s="3">
        <v>16.008099999999999</v>
      </c>
      <c r="G30" s="3">
        <v>7.9787999999999997</v>
      </c>
      <c r="H30" s="3">
        <v>2.4554</v>
      </c>
      <c r="I30" s="3">
        <v>2.7441</v>
      </c>
      <c r="J30" s="3">
        <v>12.0528</v>
      </c>
      <c r="K30" s="3">
        <v>4.1153000000000004</v>
      </c>
      <c r="L30" s="3">
        <v>9.1020000000000003</v>
      </c>
      <c r="M30" s="3">
        <v>10.893000000000001</v>
      </c>
      <c r="N30" s="3">
        <v>5.7640000000000002</v>
      </c>
      <c r="O30" s="3">
        <v>-6.0999999999999999E-2</v>
      </c>
      <c r="P30" s="3">
        <v>8.6295000000000002</v>
      </c>
      <c r="Q30" s="3">
        <v>11.6831</v>
      </c>
      <c r="R30" s="3">
        <v>1.8354999999999999</v>
      </c>
    </row>
    <row r="31" spans="1:18" x14ac:dyDescent="0.25">
      <c r="A31" s="1">
        <v>45747</v>
      </c>
      <c r="B31" s="3">
        <v>5.9720000000000004</v>
      </c>
      <c r="C31" s="3">
        <v>2.5125999999999999</v>
      </c>
      <c r="D31" s="3">
        <v>15.580500000000001</v>
      </c>
      <c r="E31" s="3">
        <v>2.3277000000000001</v>
      </c>
      <c r="F31" s="3">
        <v>21.765999999999998</v>
      </c>
      <c r="G31" s="3">
        <v>8.0507000000000009</v>
      </c>
      <c r="H31" s="3">
        <v>0.20349999999999999</v>
      </c>
      <c r="I31" s="3">
        <v>4.0875000000000004</v>
      </c>
      <c r="J31" s="3">
        <v>14.1142</v>
      </c>
      <c r="K31" s="3">
        <v>19.1508</v>
      </c>
      <c r="L31" s="3">
        <v>2.4144999999999999</v>
      </c>
      <c r="M31" s="3">
        <v>9.0299999999999994</v>
      </c>
      <c r="N31" s="3">
        <v>7.5439999999999996</v>
      </c>
      <c r="O31" s="3">
        <v>3.5764999999999998</v>
      </c>
      <c r="P31" s="3">
        <v>-13.509600000000001</v>
      </c>
      <c r="Q31" s="3">
        <v>3.2292999999999998</v>
      </c>
      <c r="R31" s="3">
        <v>4.2996999999999996</v>
      </c>
    </row>
    <row r="32" spans="1:18" x14ac:dyDescent="0.25">
      <c r="A32" s="1">
        <v>45838</v>
      </c>
      <c r="B32" s="3">
        <v>4.2931999999999997</v>
      </c>
      <c r="C32" s="3">
        <v>3.3601000000000001</v>
      </c>
      <c r="D32" s="3">
        <v>18.2026</v>
      </c>
      <c r="E32" s="3">
        <v>1.8507</v>
      </c>
      <c r="F32" s="3">
        <v>13.200699999999999</v>
      </c>
      <c r="G32" s="3">
        <v>8.6356000000000002</v>
      </c>
      <c r="H32" s="3">
        <v>3.7631000000000001</v>
      </c>
      <c r="I32" s="3">
        <v>2.9001000000000001</v>
      </c>
      <c r="J32" s="3">
        <v>14.509499999999999</v>
      </c>
      <c r="K32" s="3">
        <v>20.251000000000001</v>
      </c>
      <c r="L32" s="3">
        <v>0.1123</v>
      </c>
      <c r="M32" s="3">
        <v>7.8353999999999999</v>
      </c>
      <c r="N32" s="3">
        <v>5.3535000000000004</v>
      </c>
      <c r="O32" s="3">
        <v>2.294</v>
      </c>
      <c r="P32" s="3">
        <v>-18.260300000000001</v>
      </c>
      <c r="Q32" s="3">
        <v>0.12670000000000001</v>
      </c>
      <c r="R32" s="3">
        <v>6.7107000000000001</v>
      </c>
    </row>
    <row r="33" spans="1:18" x14ac:dyDescent="0.25">
      <c r="A33" s="1">
        <v>45930</v>
      </c>
      <c r="B33" s="3">
        <v>-1.5842000000000001</v>
      </c>
      <c r="C33" s="3">
        <v>2.508</v>
      </c>
      <c r="D33" s="3">
        <v>20.111999999999998</v>
      </c>
      <c r="E33" s="3">
        <v>0.43280000000000002</v>
      </c>
      <c r="F33" s="3">
        <v>12.5862</v>
      </c>
      <c r="G33" s="3">
        <v>5.0967000000000002</v>
      </c>
      <c r="H33" s="3">
        <v>2.1896</v>
      </c>
      <c r="I33" s="3">
        <v>1.8516999999999999</v>
      </c>
      <c r="J33" s="3">
        <v>14.169</v>
      </c>
      <c r="K33" s="3">
        <v>19.689399999999999</v>
      </c>
      <c r="L33" s="3">
        <v>-1.2808999999999999</v>
      </c>
      <c r="M33" s="3">
        <v>5.4211999999999998</v>
      </c>
      <c r="N33" s="3">
        <v>3.5844999999999998</v>
      </c>
      <c r="O33" s="3">
        <v>4.2980999999999998</v>
      </c>
      <c r="P33" s="3">
        <v>-11.173500000000001</v>
      </c>
      <c r="Q33" s="3">
        <v>-1.9886999999999999</v>
      </c>
      <c r="R33" s="3">
        <v>8.7600999999999996</v>
      </c>
    </row>
    <row r="34" spans="1:18" x14ac:dyDescent="0.25">
      <c r="A34" s="1">
        <v>46022</v>
      </c>
      <c r="B34" s="3">
        <v>-2.8081</v>
      </c>
      <c r="C34" s="3">
        <v>3.1160999999999999</v>
      </c>
      <c r="D34" s="3">
        <v>17.438300000000002</v>
      </c>
      <c r="E34" s="3">
        <v>-0.57389999999999997</v>
      </c>
      <c r="F34" s="3">
        <v>9.3649000000000004</v>
      </c>
      <c r="G34" s="3">
        <v>4.5491000000000001</v>
      </c>
      <c r="H34" s="3">
        <v>1.4698</v>
      </c>
      <c r="I34" s="3">
        <v>1.1462000000000001</v>
      </c>
      <c r="J34" s="3">
        <v>8.4002999999999997</v>
      </c>
      <c r="K34" s="3">
        <v>18.192299999999999</v>
      </c>
      <c r="L34" s="3">
        <v>-0.86739999999999995</v>
      </c>
      <c r="M34" s="3">
        <v>5.8239999999999998</v>
      </c>
      <c r="N34" s="3">
        <v>0.58779999999999999</v>
      </c>
      <c r="O34" s="3">
        <v>4.4268999999999998</v>
      </c>
      <c r="P34" s="3">
        <v>-7.3491999999999997</v>
      </c>
      <c r="Q34" s="3">
        <v>7.0999999999999994E-2</v>
      </c>
      <c r="R34" s="3">
        <v>9.2316000000000003</v>
      </c>
    </row>
    <row r="35" spans="1:18" x14ac:dyDescent="0.25">
      <c r="A35" s="1">
        <v>46112</v>
      </c>
      <c r="B35" s="3">
        <v>-1.3516999999999999</v>
      </c>
      <c r="C35" s="3">
        <v>2.6968000000000001</v>
      </c>
      <c r="D35" s="3">
        <v>20.437100000000001</v>
      </c>
      <c r="E35" s="3">
        <v>-1.0475000000000001</v>
      </c>
      <c r="F35" s="3">
        <v>10.175599999999999</v>
      </c>
      <c r="G35" s="3">
        <v>6.5225999999999997</v>
      </c>
      <c r="H35" s="3">
        <v>2.0844</v>
      </c>
      <c r="I35" s="3">
        <v>1.2170000000000001</v>
      </c>
      <c r="J35" s="3">
        <v>9.8259000000000007</v>
      </c>
      <c r="K35" s="3">
        <v>15.2264</v>
      </c>
      <c r="L35" s="3">
        <v>2.3351999999999999</v>
      </c>
      <c r="M35" s="3">
        <v>6.6283000000000003</v>
      </c>
      <c r="N35" s="3">
        <v>0.36520000000000002</v>
      </c>
      <c r="O35" s="3">
        <v>3.7753000000000001</v>
      </c>
      <c r="P35" s="3">
        <v>-6.4823000000000004</v>
      </c>
      <c r="Q35" s="3">
        <v>2.9973999999999998</v>
      </c>
      <c r="R35" s="3">
        <v>12.550800000000001</v>
      </c>
    </row>
    <row r="36" spans="1:18" x14ac:dyDescent="0.25">
      <c r="A36" s="1">
        <v>46203</v>
      </c>
      <c r="B36" s="3">
        <v>2.4264000000000001</v>
      </c>
      <c r="C36" s="3">
        <v>2.8047</v>
      </c>
      <c r="D36" s="3">
        <v>20.0947</v>
      </c>
      <c r="E36" s="3">
        <v>-1.0318000000000001</v>
      </c>
      <c r="F36" s="3">
        <v>8.5372000000000003</v>
      </c>
      <c r="G36" s="3">
        <v>4.2493999999999996</v>
      </c>
      <c r="H36" s="3">
        <v>1.9338</v>
      </c>
      <c r="I36" s="3">
        <v>1.3006</v>
      </c>
      <c r="J36" s="3">
        <v>10.616</v>
      </c>
      <c r="K36" s="3">
        <v>17.1113</v>
      </c>
      <c r="L36" s="3">
        <v>4.3151000000000002</v>
      </c>
      <c r="M36" s="3">
        <v>8.2186000000000003</v>
      </c>
      <c r="N36" s="3">
        <v>0.39500000000000002</v>
      </c>
      <c r="O36" s="3">
        <v>2.3835000000000002</v>
      </c>
      <c r="P36" s="3">
        <v>-1.5331999999999999</v>
      </c>
      <c r="Q36" s="3">
        <v>6.7328999999999999</v>
      </c>
      <c r="R36" s="3">
        <v>11.781499999999999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EC32-AAFF-476C-98E4-6250975A4304}">
  <dimension ref="A1:R36"/>
  <sheetViews>
    <sheetView workbookViewId="0">
      <selection activeCell="B2" sqref="B2:R3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_xll.BDH(B$1,"CF_CASH_FROM_OPER","2017-12-29","","Dir=V","Per=Q","Days=A","Dts=S","cols=2;rows=35")</f>
        <v>43100</v>
      </c>
      <c r="B2" s="2">
        <v>16871</v>
      </c>
      <c r="C2" s="2">
        <f>_xll.BDH(C$1,"CF_CASH_FROM_OPER","2017-12-29","","Dir=V","Per=Q","Days=A","Dts=H","cols=1;rows=35")</f>
        <v>815.28290000000004</v>
      </c>
      <c r="D2" s="2">
        <f>_xll.BDH(D$1,"CF_CASH_FROM_OPER","2017-12-29","","Dir=V","Per=Q","Days=A","Dts=H","cols=1;rows=35")</f>
        <v>2197.7482</v>
      </c>
      <c r="E2" s="2">
        <f>_xll.BDH(E$1,"CF_CASH_FROM_OPER","2017-12-29","","Dir=V","Per=Q","Days=A","Dts=H","cols=1;rows=35")</f>
        <v>-2202.7330000000002</v>
      </c>
      <c r="F2" s="2">
        <f>_xll.BDH(F$1,"CF_CASH_FROM_OPER","2017-12-29","","Dir=V","Per=Q","Days=A","Dts=H","cols=1;rows=35")</f>
        <v>1430.5429999999999</v>
      </c>
      <c r="G2" s="2">
        <f>_xll.BDH(G$1,"CF_CASH_FROM_OPER","2017-12-29","","Dir=V","Per=Q","Days=A","Dts=H","cols=1;rows=35")</f>
        <v>5281.2529999999997</v>
      </c>
      <c r="H2" s="2">
        <f>_xll.BDH(H$1,"CF_CASH_FROM_OPER","2017-12-29","","Dir=V","Per=Q","Days=A","Dts=H","cols=1;rows=35")</f>
        <v>8155.58</v>
      </c>
      <c r="I2" s="2">
        <f>_xll.BDH(I$1,"CF_CASH_FROM_OPER","2017-12-29","","Dir=V","Per=Q","Days=A","Dts=H","cols=1;rows=35")</f>
        <v>1356.873</v>
      </c>
      <c r="J2" s="2">
        <f>_xll.BDH(J$1,"CF_CASH_FROM_OPER","2017-12-29","","Dir=V","Per=Q","Days=A","Dts=H","cols=1;rows=35")</f>
        <v>3529.0709999999999</v>
      </c>
      <c r="K2" s="2">
        <f>_xll.BDH(K$1,"CF_CASH_FROM_OPER","2017-12-29","","Dir=V","Per=Q","Days=A","Dts=H","cols=1;rows=35")</f>
        <v>543.69799999999998</v>
      </c>
      <c r="L2" s="2">
        <f>_xll.BDH(L$1,"CF_CASH_FROM_OPER","2017-12-29","","Dir=V","Per=Q","Days=A","Dts=H","cols=1;rows=35")</f>
        <v>12262</v>
      </c>
      <c r="M2" s="2">
        <f>_xll.BDH(M$1,"CF_CASH_FROM_OPER","2017-12-29","","Dir=V","Per=Q","Days=A","Dts=H","cols=1;rows=35")</f>
        <v>490.98520000000002</v>
      </c>
      <c r="N2" s="2">
        <f>_xll.BDH(N$1,"CF_CASH_FROM_OPER","2017-12-29","","Dir=V","Per=Q","Days=A","Dts=H","cols=1;rows=35")</f>
        <v>267.67599999999999</v>
      </c>
      <c r="O2" s="2">
        <f>_xll.BDH(O$1,"CF_CASH_FROM_OPER","2017-12-29","","Dir=V","Per=Q","Days=A","Dts=H","cols=1;rows=35")</f>
        <v>2456</v>
      </c>
      <c r="P2" s="2">
        <f>_xll.BDH(P$1,"CF_CASH_FROM_OPER","2017-12-29","","Dir=V","Per=Q","Days=A","Dts=H","cols=1;rows=35")</f>
        <v>484.62400000000002</v>
      </c>
      <c r="Q2" s="2">
        <f>_xll.BDH(Q$1,"CF_CASH_FROM_OPER","2017-12-29","","Dir=V","Per=Q","Days=A","Dts=H","cols=1;rows=35")</f>
        <v>2867.2372</v>
      </c>
      <c r="R2" s="2">
        <f>_xll.BDH(R$1,"CF_CASH_FROM_OPER","2017-12-29","","Dir=V","Per=Q","Days=A","Dts=H","cols=1;rows=35")</f>
        <v>1421.6410000000001</v>
      </c>
    </row>
    <row r="3" spans="1:18" x14ac:dyDescent="0.25">
      <c r="A3" s="1">
        <v>43190</v>
      </c>
      <c r="B3" s="2">
        <v>16027</v>
      </c>
      <c r="C3" s="2">
        <v>-157.91909999999999</v>
      </c>
      <c r="D3" s="2">
        <v>1239.838</v>
      </c>
      <c r="E3" s="2">
        <v>912.37</v>
      </c>
      <c r="F3" s="2">
        <v>547.98</v>
      </c>
      <c r="G3" s="2">
        <v>4217.51</v>
      </c>
      <c r="H3" s="2">
        <v>12018.423000000001</v>
      </c>
      <c r="I3" s="2">
        <v>3056.0070000000001</v>
      </c>
      <c r="J3" s="2">
        <v>3378.6559999999999</v>
      </c>
      <c r="K3" s="2">
        <v>1667.152</v>
      </c>
      <c r="L3" s="2">
        <v>12991</v>
      </c>
      <c r="M3" s="2">
        <v>154.43530000000001</v>
      </c>
      <c r="N3" s="2">
        <v>-7700.3869999999997</v>
      </c>
      <c r="O3" s="2">
        <v>2893</v>
      </c>
      <c r="P3" s="2">
        <v>99.683999999999997</v>
      </c>
      <c r="Q3" s="2">
        <v>1728.8552</v>
      </c>
      <c r="R3" s="2">
        <v>1310.163</v>
      </c>
    </row>
    <row r="4" spans="1:18" x14ac:dyDescent="0.25">
      <c r="A4" s="1">
        <v>43281</v>
      </c>
      <c r="B4" s="2">
        <v>22939</v>
      </c>
      <c r="C4" s="2">
        <v>51.551099999999998</v>
      </c>
      <c r="D4" s="2">
        <v>59.113</v>
      </c>
      <c r="E4" s="2">
        <v>2667.9409999999998</v>
      </c>
      <c r="F4" s="2">
        <v>593.99699999999996</v>
      </c>
      <c r="G4" s="2">
        <v>3655.7820000000002</v>
      </c>
      <c r="H4" s="2">
        <v>3154.8649999999998</v>
      </c>
      <c r="I4" s="2">
        <v>-5746.7939999999999</v>
      </c>
      <c r="J4" s="2">
        <v>593.28499999999997</v>
      </c>
      <c r="K4" s="2">
        <v>2149.2399999999998</v>
      </c>
      <c r="L4" s="2">
        <v>11705</v>
      </c>
      <c r="M4" s="2">
        <v>114.33929999999999</v>
      </c>
      <c r="N4" s="2">
        <v>-3883.4229999999998</v>
      </c>
      <c r="O4" s="2">
        <v>352</v>
      </c>
      <c r="P4" s="2">
        <v>-183.48599999999999</v>
      </c>
      <c r="Q4" s="2">
        <v>-1148.8321000000001</v>
      </c>
      <c r="R4" s="2">
        <v>-424.64100000000002</v>
      </c>
    </row>
    <row r="5" spans="1:18" x14ac:dyDescent="0.25">
      <c r="A5" s="1">
        <v>43373</v>
      </c>
      <c r="B5" s="2">
        <v>23962</v>
      </c>
      <c r="C5" s="2">
        <v>-6280.2120999999997</v>
      </c>
      <c r="D5" s="2">
        <v>1652.8579999999999</v>
      </c>
      <c r="E5" s="2">
        <v>-2682.6390000000001</v>
      </c>
      <c r="F5" s="2">
        <v>1984.077</v>
      </c>
      <c r="G5" s="2">
        <v>5924.0240000000003</v>
      </c>
      <c r="H5" s="2">
        <v>-4238.4740000000002</v>
      </c>
      <c r="I5" s="2">
        <v>-21104.182000000001</v>
      </c>
      <c r="J5" s="2">
        <v>4009.819</v>
      </c>
      <c r="K5" s="2">
        <v>3941.8609999999999</v>
      </c>
      <c r="L5" s="2">
        <v>19779</v>
      </c>
      <c r="M5" s="2">
        <v>81.983699999999999</v>
      </c>
      <c r="N5" s="2">
        <v>7711.0780000000004</v>
      </c>
      <c r="O5" s="2">
        <v>954</v>
      </c>
      <c r="P5" s="2">
        <v>72.894999999999996</v>
      </c>
      <c r="Q5" s="2">
        <v>652.48689999999999</v>
      </c>
      <c r="R5" s="2">
        <v>575.83100000000002</v>
      </c>
    </row>
    <row r="6" spans="1:18" x14ac:dyDescent="0.25">
      <c r="A6" s="1">
        <v>43465</v>
      </c>
      <c r="B6" s="2">
        <v>36605</v>
      </c>
      <c r="C6" s="2">
        <v>-4760.1862000000001</v>
      </c>
      <c r="D6" s="2">
        <v>2978.5529999999999</v>
      </c>
      <c r="E6" s="2">
        <v>635.58699999999999</v>
      </c>
      <c r="F6" s="2">
        <v>-7835.9539999999997</v>
      </c>
      <c r="G6" s="2">
        <v>1428.433</v>
      </c>
      <c r="H6" s="2">
        <v>-514.505</v>
      </c>
      <c r="I6" s="2">
        <v>9554.5859999999993</v>
      </c>
      <c r="J6" s="2">
        <v>11703.572</v>
      </c>
      <c r="K6" s="2">
        <v>1792.385</v>
      </c>
      <c r="L6" s="2">
        <v>10518</v>
      </c>
      <c r="M6" s="2">
        <v>313.26859999999999</v>
      </c>
      <c r="N6" s="2">
        <v>27825.844000000001</v>
      </c>
      <c r="O6" s="2">
        <v>-707</v>
      </c>
      <c r="P6" s="2">
        <v>296.14100000000002</v>
      </c>
      <c r="Q6" s="2">
        <v>-3675.2429999999999</v>
      </c>
      <c r="R6" s="2">
        <v>5022.17</v>
      </c>
    </row>
    <row r="7" spans="1:18" x14ac:dyDescent="0.25">
      <c r="A7" s="1">
        <v>43555</v>
      </c>
      <c r="B7" s="2">
        <v>34015</v>
      </c>
      <c r="C7" s="2">
        <v>-22.463999999999999</v>
      </c>
      <c r="D7" s="2">
        <v>732.39599999999996</v>
      </c>
      <c r="E7" s="2">
        <v>3717.9409999999998</v>
      </c>
      <c r="F7" s="2">
        <v>968.05600000000004</v>
      </c>
      <c r="G7" s="2">
        <v>888</v>
      </c>
      <c r="H7" s="2">
        <v>19906.387999999999</v>
      </c>
      <c r="I7" s="2">
        <v>-25685.45</v>
      </c>
      <c r="J7" s="2">
        <v>5004.0330000000004</v>
      </c>
      <c r="K7" s="2">
        <v>3216.442</v>
      </c>
      <c r="L7" s="2">
        <v>21156</v>
      </c>
      <c r="M7" s="2">
        <v>140.06</v>
      </c>
      <c r="N7" s="2">
        <v>5896.5879999999997</v>
      </c>
      <c r="O7" s="2">
        <v>-5007</v>
      </c>
      <c r="P7" s="2">
        <v>-312.63600000000002</v>
      </c>
      <c r="Q7" s="2">
        <v>-1924.3021000000001</v>
      </c>
      <c r="R7" s="2">
        <v>3166.6950000000002</v>
      </c>
    </row>
    <row r="8" spans="1:18" x14ac:dyDescent="0.25">
      <c r="A8" s="1">
        <v>43646</v>
      </c>
      <c r="B8" s="2">
        <v>32826</v>
      </c>
      <c r="C8" s="2">
        <v>-902.35699999999997</v>
      </c>
      <c r="D8" s="2">
        <v>2357.4360000000001</v>
      </c>
      <c r="E8" s="2">
        <v>5449.2280000000001</v>
      </c>
      <c r="F8" s="2">
        <v>1618.1420000000001</v>
      </c>
      <c r="G8" s="2">
        <v>7179.1809999999996</v>
      </c>
      <c r="H8" s="2">
        <v>28700.205999999998</v>
      </c>
      <c r="I8" s="2">
        <v>-7843.3459999999995</v>
      </c>
      <c r="J8" s="2">
        <v>2187.6559999999999</v>
      </c>
      <c r="K8" s="2">
        <v>1503.001</v>
      </c>
      <c r="L8" s="2">
        <v>20919</v>
      </c>
      <c r="M8" s="2">
        <v>243.58690000000001</v>
      </c>
      <c r="N8" s="2">
        <v>-28071.755000000001</v>
      </c>
      <c r="O8" s="2">
        <v>11779</v>
      </c>
      <c r="P8" s="2">
        <v>-1510.47</v>
      </c>
      <c r="Q8" s="2">
        <v>3035.8589000000002</v>
      </c>
      <c r="R8" s="2">
        <v>-952.63300000000004</v>
      </c>
    </row>
    <row r="9" spans="1:18" x14ac:dyDescent="0.25">
      <c r="A9" s="1">
        <v>43738</v>
      </c>
      <c r="B9" s="2">
        <v>48053</v>
      </c>
      <c r="C9" s="2">
        <v>-4230.107</v>
      </c>
      <c r="D9" s="2">
        <v>3195.7370000000001</v>
      </c>
      <c r="E9" s="2">
        <v>-8414.0470000000005</v>
      </c>
      <c r="F9" s="2">
        <v>5364.1779999999999</v>
      </c>
      <c r="G9" s="2">
        <v>1622.2370000000001</v>
      </c>
      <c r="H9" s="2">
        <v>4552.5010000000002</v>
      </c>
      <c r="I9" s="2">
        <v>3162.4360000000001</v>
      </c>
      <c r="J9" s="2">
        <v>3511.924</v>
      </c>
      <c r="K9" s="2">
        <v>4098.991</v>
      </c>
      <c r="L9" s="2">
        <v>18458</v>
      </c>
      <c r="M9" s="2">
        <v>124.6964</v>
      </c>
      <c r="N9" s="2">
        <v>-49447.220999999998</v>
      </c>
      <c r="O9" s="2">
        <v>9268</v>
      </c>
      <c r="P9" s="2">
        <v>-129.62</v>
      </c>
      <c r="Q9" s="2">
        <v>6313.5523999999996</v>
      </c>
      <c r="R9" s="2">
        <v>5598.4750000000004</v>
      </c>
    </row>
    <row r="10" spans="1:18" x14ac:dyDescent="0.25">
      <c r="A10" s="1">
        <v>43830</v>
      </c>
      <c r="B10" s="2">
        <v>61700</v>
      </c>
      <c r="C10" s="2">
        <v>-3500.8319999999999</v>
      </c>
      <c r="D10" s="2">
        <v>2205.8789999999999</v>
      </c>
      <c r="E10" s="2">
        <v>-450.928</v>
      </c>
      <c r="F10" s="2">
        <v>4913.5169999999998</v>
      </c>
      <c r="G10" s="2">
        <v>3100.6089999999999</v>
      </c>
      <c r="H10" s="2">
        <v>37598.269999999997</v>
      </c>
      <c r="I10" s="2">
        <v>61035.474999999999</v>
      </c>
      <c r="J10" s="2">
        <v>7673.9579999999996</v>
      </c>
      <c r="K10" s="2">
        <v>219.71700000000001</v>
      </c>
      <c r="L10" s="2">
        <v>32351</v>
      </c>
      <c r="M10" s="2">
        <v>211.53899999999999</v>
      </c>
      <c r="N10" s="2">
        <v>164810.774</v>
      </c>
      <c r="O10" s="2">
        <v>12828</v>
      </c>
      <c r="P10" s="2">
        <v>-363.44400000000002</v>
      </c>
      <c r="Q10" s="2">
        <v>10924.0843</v>
      </c>
      <c r="R10" s="2">
        <v>6778.7610000000004</v>
      </c>
    </row>
    <row r="11" spans="1:18" x14ac:dyDescent="0.25">
      <c r="A11" s="1">
        <v>43921</v>
      </c>
      <c r="B11" s="2">
        <v>42912</v>
      </c>
      <c r="C11" s="2">
        <v>13731.672</v>
      </c>
      <c r="D11" s="2">
        <v>1237.107</v>
      </c>
      <c r="E11" s="2">
        <v>-60348.135999999999</v>
      </c>
      <c r="F11" s="2">
        <v>3315.5079999999998</v>
      </c>
      <c r="G11" s="2">
        <v>3015</v>
      </c>
      <c r="H11" s="2">
        <v>-27204.960999999999</v>
      </c>
      <c r="I11" s="2">
        <v>-34467.75</v>
      </c>
      <c r="J11" s="2">
        <v>7443.9539999999997</v>
      </c>
      <c r="K11" s="2">
        <v>3247.1190000000001</v>
      </c>
      <c r="L11" s="2">
        <v>15904</v>
      </c>
      <c r="M11" s="2">
        <v>103.2539</v>
      </c>
      <c r="N11" s="2">
        <v>21952.284</v>
      </c>
      <c r="O11" s="2">
        <v>6351</v>
      </c>
      <c r="P11" s="2">
        <v>380.85500000000002</v>
      </c>
      <c r="Q11" s="2">
        <v>7805.1581999999999</v>
      </c>
      <c r="R11" s="2">
        <v>2486.8139999999999</v>
      </c>
    </row>
    <row r="12" spans="1:18" x14ac:dyDescent="0.25">
      <c r="A12" s="1">
        <v>44012</v>
      </c>
      <c r="B12" s="2">
        <v>20101</v>
      </c>
      <c r="C12" s="2">
        <v>-20513.087</v>
      </c>
      <c r="D12" s="2">
        <v>1948.88</v>
      </c>
      <c r="E12" s="2">
        <v>-36630.85</v>
      </c>
      <c r="F12" s="2">
        <v>-1322.4369999999999</v>
      </c>
      <c r="G12" s="2">
        <v>0</v>
      </c>
      <c r="H12" s="2">
        <v>-68424.978000000003</v>
      </c>
      <c r="I12" s="2">
        <v>-91733.453999999998</v>
      </c>
      <c r="J12" s="2">
        <v>10032.004999999999</v>
      </c>
      <c r="K12" s="2">
        <v>2946.8580000000002</v>
      </c>
      <c r="L12" s="2">
        <v>40935</v>
      </c>
      <c r="M12" s="2">
        <v>121.3254</v>
      </c>
      <c r="N12" s="2">
        <v>10641.596</v>
      </c>
      <c r="O12" s="2">
        <v>13334</v>
      </c>
      <c r="P12" s="2">
        <v>200.15199999999999</v>
      </c>
      <c r="Q12" s="2">
        <v>404.0324</v>
      </c>
      <c r="R12" s="2">
        <v>7850.63</v>
      </c>
    </row>
    <row r="13" spans="1:18" x14ac:dyDescent="0.25">
      <c r="A13" s="1">
        <v>44104</v>
      </c>
      <c r="B13" s="2">
        <v>30408</v>
      </c>
      <c r="C13" s="2">
        <v>-1486.605</v>
      </c>
      <c r="D13" s="2">
        <v>3316.8969999999999</v>
      </c>
      <c r="E13" s="2">
        <v>-26090.588</v>
      </c>
      <c r="F13" s="2">
        <v>2876.2689999999998</v>
      </c>
      <c r="G13" s="2">
        <v>18792.509999999998</v>
      </c>
      <c r="H13" s="2">
        <v>-61058.114000000001</v>
      </c>
      <c r="I13" s="2">
        <v>-3780.761</v>
      </c>
      <c r="J13" s="2">
        <v>14117.678</v>
      </c>
      <c r="K13" s="2">
        <v>4655.2650000000003</v>
      </c>
      <c r="L13" s="2">
        <v>28696</v>
      </c>
      <c r="M13" s="2">
        <v>195.96010000000001</v>
      </c>
      <c r="N13" s="2">
        <v>42282.631999999998</v>
      </c>
      <c r="O13" s="2">
        <v>1335</v>
      </c>
      <c r="P13" s="2">
        <v>1394.645</v>
      </c>
      <c r="Q13" s="2">
        <v>7289.0950999999995</v>
      </c>
      <c r="R13" s="2">
        <v>6137.491</v>
      </c>
    </row>
    <row r="14" spans="1:18" x14ac:dyDescent="0.25">
      <c r="A14" s="1">
        <v>44196</v>
      </c>
      <c r="B14" s="2">
        <v>55132</v>
      </c>
      <c r="C14" s="2">
        <v>-24101.757000000001</v>
      </c>
      <c r="D14" s="2">
        <v>3278.922</v>
      </c>
      <c r="E14" s="2">
        <v>4018.877</v>
      </c>
      <c r="F14" s="2">
        <v>4228.6139999999996</v>
      </c>
      <c r="G14" s="2">
        <v>144.39099999999999</v>
      </c>
      <c r="H14" s="2">
        <v>86468.368000000002</v>
      </c>
      <c r="I14" s="2">
        <v>-56962.514000000003</v>
      </c>
      <c r="J14" s="2">
        <v>7675.8729999999996</v>
      </c>
      <c r="K14" s="2">
        <v>-749.74699999999996</v>
      </c>
      <c r="L14" s="2">
        <v>33982</v>
      </c>
      <c r="M14" s="2">
        <v>131.2698</v>
      </c>
      <c r="N14" s="2">
        <v>97011.096000000005</v>
      </c>
      <c r="O14" s="2">
        <v>-4169</v>
      </c>
      <c r="P14" s="2">
        <v>290.20600000000002</v>
      </c>
      <c r="Q14" s="2">
        <v>6153.9785000000002</v>
      </c>
      <c r="R14" s="2">
        <v>7583.7640000000001</v>
      </c>
    </row>
    <row r="15" spans="1:18" x14ac:dyDescent="0.25">
      <c r="A15" s="1">
        <v>44286</v>
      </c>
      <c r="B15" s="2">
        <v>76759</v>
      </c>
      <c r="C15" s="2">
        <v>-37536.413</v>
      </c>
      <c r="D15" s="2">
        <v>-1068.1289999999999</v>
      </c>
      <c r="E15" s="2">
        <v>-44706.292000000001</v>
      </c>
      <c r="F15" s="2">
        <v>-1405</v>
      </c>
      <c r="G15" s="2">
        <v>6264</v>
      </c>
      <c r="H15" s="2">
        <v>118498.088</v>
      </c>
      <c r="I15" s="2">
        <v>32553.662</v>
      </c>
      <c r="J15" s="2">
        <v>13964.876</v>
      </c>
      <c r="K15" s="2">
        <v>827.38900000000001</v>
      </c>
      <c r="L15" s="2">
        <v>32011</v>
      </c>
      <c r="M15" s="2">
        <v>122.0675</v>
      </c>
      <c r="N15" s="2">
        <v>48446.106</v>
      </c>
      <c r="O15" s="2">
        <v>-17986</v>
      </c>
      <c r="P15" s="2">
        <v>1329.75</v>
      </c>
      <c r="Q15" s="2">
        <v>-5796.8002999999999</v>
      </c>
      <c r="R15" s="2">
        <v>4637.4369999999999</v>
      </c>
    </row>
    <row r="16" spans="1:18" x14ac:dyDescent="0.25">
      <c r="A16" s="1">
        <v>44377</v>
      </c>
      <c r="B16" s="2">
        <v>83820</v>
      </c>
      <c r="C16" s="2">
        <v>2363.4470000000001</v>
      </c>
      <c r="D16" s="2">
        <v>592.16800000000001</v>
      </c>
      <c r="E16" s="2">
        <v>-36597.542000000001</v>
      </c>
      <c r="F16" s="2">
        <v>-5614</v>
      </c>
      <c r="G16" s="2">
        <v>11685</v>
      </c>
      <c r="H16" s="2">
        <v>8009.8289999999997</v>
      </c>
      <c r="I16" s="2">
        <v>-112407.054</v>
      </c>
      <c r="J16" s="2">
        <v>8229.4449999999997</v>
      </c>
      <c r="K16" s="2">
        <v>3910.0149999999999</v>
      </c>
      <c r="L16" s="2">
        <v>24707</v>
      </c>
      <c r="M16" s="2">
        <v>159.66130000000001</v>
      </c>
      <c r="N16" s="2">
        <v>24727.151000000002</v>
      </c>
      <c r="O16" s="2">
        <v>3539</v>
      </c>
      <c r="P16" s="2">
        <v>2387.5059999999999</v>
      </c>
      <c r="Q16" s="2">
        <v>7065.8415999999997</v>
      </c>
      <c r="R16" s="2">
        <v>2592.4549999999999</v>
      </c>
    </row>
    <row r="17" spans="1:18" x14ac:dyDescent="0.25">
      <c r="A17" s="1">
        <v>44469</v>
      </c>
      <c r="B17" s="2">
        <v>88289</v>
      </c>
      <c r="C17" s="2">
        <v>-84865.222999999998</v>
      </c>
      <c r="D17" s="2">
        <v>6342.62</v>
      </c>
      <c r="E17" s="2">
        <v>-51314.214999999997</v>
      </c>
      <c r="F17" s="2">
        <v>3914</v>
      </c>
      <c r="G17" s="2">
        <v>20676</v>
      </c>
      <c r="H17" s="2">
        <v>102551.126</v>
      </c>
      <c r="I17" s="2">
        <v>7286.35</v>
      </c>
      <c r="J17" s="2">
        <v>12870.62</v>
      </c>
      <c r="K17" s="2">
        <v>6003.1710000000003</v>
      </c>
      <c r="L17" s="2">
        <v>83904</v>
      </c>
      <c r="M17" s="2">
        <v>197.071</v>
      </c>
      <c r="N17" s="2">
        <v>34082.228999999999</v>
      </c>
      <c r="O17" s="2">
        <v>9269</v>
      </c>
      <c r="P17" s="2">
        <v>3351.8020000000001</v>
      </c>
      <c r="Q17" s="2">
        <v>8912.5874000000003</v>
      </c>
      <c r="R17" s="2">
        <v>17342.636999999999</v>
      </c>
    </row>
    <row r="18" spans="1:18" x14ac:dyDescent="0.25">
      <c r="A18" s="1">
        <v>44561</v>
      </c>
      <c r="B18" s="2">
        <v>96386</v>
      </c>
      <c r="C18" s="2">
        <v>-18320.848999999998</v>
      </c>
      <c r="D18" s="2">
        <v>3357.2539999999999</v>
      </c>
      <c r="E18" s="2">
        <v>51392.639999999999</v>
      </c>
      <c r="F18" s="2">
        <v>12158</v>
      </c>
      <c r="G18" s="2">
        <v>8237</v>
      </c>
      <c r="H18" s="2">
        <v>84311.576000000001</v>
      </c>
      <c r="I18" s="2">
        <v>4591.1639999999998</v>
      </c>
      <c r="J18" s="2">
        <v>24313.120999999999</v>
      </c>
      <c r="K18" s="2">
        <v>9125.9009999999998</v>
      </c>
      <c r="L18" s="2">
        <v>72269</v>
      </c>
      <c r="M18" s="2">
        <v>148.82640000000001</v>
      </c>
      <c r="N18" s="2">
        <v>55228.27</v>
      </c>
      <c r="O18" s="2">
        <v>-3475</v>
      </c>
      <c r="P18" s="2">
        <v>3531.857</v>
      </c>
      <c r="Q18" s="2">
        <v>1314.2832000000001</v>
      </c>
      <c r="R18" s="2">
        <v>8552.6740000000009</v>
      </c>
    </row>
    <row r="19" spans="1:18" x14ac:dyDescent="0.25">
      <c r="A19" s="1">
        <v>44651</v>
      </c>
      <c r="B19" s="2">
        <v>134246</v>
      </c>
      <c r="C19" s="2">
        <v>134766.08499999999</v>
      </c>
      <c r="D19" s="2">
        <v>-3167.76</v>
      </c>
      <c r="E19" s="2">
        <v>-81562.717000000004</v>
      </c>
      <c r="F19" s="2">
        <v>-4114</v>
      </c>
      <c r="G19" s="2">
        <v>10803</v>
      </c>
      <c r="H19" s="2">
        <v>96231.411999999997</v>
      </c>
      <c r="I19" s="2">
        <v>-162233.97500000001</v>
      </c>
      <c r="J19" s="2">
        <v>29431.377</v>
      </c>
      <c r="K19" s="2">
        <v>1449.7570000000001</v>
      </c>
      <c r="L19" s="2">
        <v>58049</v>
      </c>
      <c r="M19" s="2">
        <v>82.190200000000004</v>
      </c>
      <c r="N19" s="2">
        <v>-318250.03100000002</v>
      </c>
      <c r="O19" s="2">
        <v>-3787</v>
      </c>
      <c r="P19" s="2">
        <v>2858.402</v>
      </c>
      <c r="Q19" s="2">
        <v>21843.071400000001</v>
      </c>
      <c r="R19" s="2">
        <v>14582.73</v>
      </c>
    </row>
    <row r="20" spans="1:18" x14ac:dyDescent="0.25">
      <c r="A20" s="1">
        <v>44742</v>
      </c>
      <c r="B20" s="2">
        <v>144388</v>
      </c>
      <c r="C20" s="2">
        <v>-11680.95</v>
      </c>
      <c r="D20" s="2">
        <v>-322.32900000000001</v>
      </c>
      <c r="E20" s="2">
        <v>-89748.328999999998</v>
      </c>
      <c r="F20" s="2">
        <v>2214</v>
      </c>
      <c r="G20" s="2">
        <v>21112</v>
      </c>
      <c r="H20" s="2">
        <v>85340.831000000006</v>
      </c>
      <c r="I20" s="2">
        <v>-89642.415999999997</v>
      </c>
      <c r="J20" s="2">
        <v>1303.778</v>
      </c>
      <c r="K20" s="2">
        <v>8167.5569999999998</v>
      </c>
      <c r="L20" s="2">
        <v>71520</v>
      </c>
      <c r="M20" s="2">
        <v>90.609300000000005</v>
      </c>
      <c r="N20" s="2">
        <v>19178.471000000001</v>
      </c>
      <c r="O20" s="2">
        <v>16253</v>
      </c>
      <c r="P20" s="2">
        <v>-55.103999999999999</v>
      </c>
      <c r="Q20" s="2">
        <v>12433.3078</v>
      </c>
      <c r="R20" s="2">
        <v>17470.275000000001</v>
      </c>
    </row>
    <row r="21" spans="1:18" x14ac:dyDescent="0.25">
      <c r="A21" s="1">
        <v>44834</v>
      </c>
      <c r="B21" s="2">
        <v>194168</v>
      </c>
      <c r="C21" s="2">
        <v>403.245</v>
      </c>
      <c r="D21" s="2">
        <v>6775.7690000000002</v>
      </c>
      <c r="E21" s="2">
        <v>29792.111000000001</v>
      </c>
      <c r="F21" s="2">
        <v>10334</v>
      </c>
      <c r="G21" s="2">
        <v>7678</v>
      </c>
      <c r="H21" s="2">
        <v>163164.533</v>
      </c>
      <c r="I21" s="2">
        <v>-293639.652</v>
      </c>
      <c r="J21" s="2">
        <v>31573.643</v>
      </c>
      <c r="K21" s="2">
        <v>14060.695</v>
      </c>
      <c r="L21" s="2">
        <v>106810</v>
      </c>
      <c r="M21" s="2">
        <v>150.30930000000001</v>
      </c>
      <c r="N21" s="2">
        <v>-544735.28300000005</v>
      </c>
      <c r="O21" s="2">
        <v>10309</v>
      </c>
      <c r="P21" s="2">
        <v>3825.5250000000001</v>
      </c>
      <c r="Q21" s="2">
        <v>19474.3289</v>
      </c>
      <c r="R21" s="2">
        <v>42593.58</v>
      </c>
    </row>
    <row r="22" spans="1:18" x14ac:dyDescent="0.25">
      <c r="A22" s="1">
        <v>44926</v>
      </c>
      <c r="B22" s="2">
        <v>204731</v>
      </c>
      <c r="C22" s="2">
        <v>4607.893</v>
      </c>
      <c r="D22" s="2">
        <v>8045.7879999999996</v>
      </c>
      <c r="E22" s="2">
        <v>-257357.18100000001</v>
      </c>
      <c r="F22" s="2">
        <v>19569</v>
      </c>
      <c r="G22" s="2">
        <v>85028</v>
      </c>
      <c r="H22" s="2">
        <v>762181.09699999995</v>
      </c>
      <c r="I22" s="2">
        <v>-237499.405</v>
      </c>
      <c r="J22" s="2">
        <v>47973.294000000002</v>
      </c>
      <c r="K22" s="2">
        <v>24557.865000000002</v>
      </c>
      <c r="L22" s="2">
        <v>288114</v>
      </c>
      <c r="M22" s="2">
        <v>129.48259999999999</v>
      </c>
      <c r="N22" s="2">
        <v>-613371.03700000001</v>
      </c>
      <c r="O22" s="2">
        <v>-30893</v>
      </c>
      <c r="P22" s="2">
        <v>31731.64</v>
      </c>
      <c r="Q22" s="2">
        <v>39824.236700000001</v>
      </c>
      <c r="R22" s="2">
        <v>80543.849000000002</v>
      </c>
    </row>
    <row r="23" spans="1:18" x14ac:dyDescent="0.25">
      <c r="A23" s="1">
        <v>45016</v>
      </c>
      <c r="B23" s="2">
        <v>270841</v>
      </c>
      <c r="C23" s="2">
        <v>2435.1849999999999</v>
      </c>
      <c r="D23" s="2">
        <v>-20977.956999999999</v>
      </c>
      <c r="E23" s="2">
        <v>170941.22099999999</v>
      </c>
      <c r="F23" s="2">
        <v>-583</v>
      </c>
      <c r="G23" s="2">
        <v>6189</v>
      </c>
      <c r="H23" s="2">
        <v>1036600.07</v>
      </c>
      <c r="I23" s="2">
        <v>-133066.95300000001</v>
      </c>
      <c r="J23" s="2">
        <v>97031.476999999999</v>
      </c>
      <c r="K23" s="2">
        <v>-9753.9009999999998</v>
      </c>
      <c r="L23" s="2">
        <v>135382</v>
      </c>
      <c r="M23" s="2">
        <v>116.99169999999999</v>
      </c>
      <c r="N23" s="2">
        <v>338566.239</v>
      </c>
      <c r="O23" s="2">
        <v>-35273</v>
      </c>
      <c r="P23" s="2">
        <v>7413.37</v>
      </c>
      <c r="Q23" s="2">
        <v>3119.1532999999999</v>
      </c>
      <c r="R23" s="2">
        <v>12931.433000000001</v>
      </c>
    </row>
    <row r="24" spans="1:18" x14ac:dyDescent="0.25">
      <c r="A24" s="1">
        <v>45107</v>
      </c>
      <c r="B24" s="2">
        <v>282262</v>
      </c>
      <c r="C24" s="2">
        <v>-140290.89000000001</v>
      </c>
      <c r="D24" s="2">
        <v>25788.937999999998</v>
      </c>
      <c r="E24" s="2">
        <v>-527805.28099999996</v>
      </c>
      <c r="F24" s="2">
        <v>-5618</v>
      </c>
      <c r="G24" s="2">
        <v>47535</v>
      </c>
      <c r="H24" s="2">
        <v>-207324.57</v>
      </c>
      <c r="I24" s="2">
        <v>-761678.973</v>
      </c>
      <c r="J24" s="2">
        <v>90163.748999999996</v>
      </c>
      <c r="K24" s="2">
        <v>6253.9279999999999</v>
      </c>
      <c r="L24" s="2">
        <v>206251</v>
      </c>
      <c r="M24" s="2">
        <v>100.68770000000001</v>
      </c>
      <c r="N24" s="2">
        <v>-1184799.3959999999</v>
      </c>
      <c r="O24" s="2">
        <v>65040</v>
      </c>
      <c r="P24" s="2">
        <v>7961.7839999999997</v>
      </c>
      <c r="Q24" s="2">
        <v>160169.7372</v>
      </c>
      <c r="R24" s="2">
        <v>65239.167999999998</v>
      </c>
    </row>
    <row r="25" spans="1:18" x14ac:dyDescent="0.25">
      <c r="A25" s="1">
        <v>45199</v>
      </c>
      <c r="B25" s="2">
        <v>400072</v>
      </c>
      <c r="C25" s="2">
        <v>-721239.125</v>
      </c>
      <c r="D25" s="2">
        <v>29909.677</v>
      </c>
      <c r="E25" s="2">
        <v>245835.66399999999</v>
      </c>
      <c r="F25" s="2">
        <v>57745</v>
      </c>
      <c r="G25" s="2">
        <v>79839</v>
      </c>
      <c r="H25" s="2">
        <v>1164567.2309999999</v>
      </c>
      <c r="I25" s="2">
        <v>-980446.62899999996</v>
      </c>
      <c r="J25" s="2">
        <v>89265.262000000002</v>
      </c>
      <c r="K25" s="2">
        <v>-17558.86</v>
      </c>
      <c r="L25" s="2">
        <v>246195</v>
      </c>
      <c r="M25" s="2">
        <v>147.83860000000001</v>
      </c>
      <c r="N25" s="2">
        <v>-563441.424</v>
      </c>
      <c r="O25" s="2">
        <v>129662</v>
      </c>
      <c r="P25" s="2">
        <v>27997.012999999999</v>
      </c>
      <c r="Q25" s="2">
        <v>-34418.376900000003</v>
      </c>
      <c r="R25" s="2">
        <v>76740.460000000006</v>
      </c>
    </row>
    <row r="26" spans="1:18" x14ac:dyDescent="0.25">
      <c r="A26" s="1">
        <v>45291</v>
      </c>
      <c r="B26" s="2">
        <v>632632</v>
      </c>
      <c r="C26" s="2">
        <v>-540104.62800000003</v>
      </c>
      <c r="D26" s="2">
        <v>8113.768</v>
      </c>
      <c r="E26" s="2">
        <v>-480989.592</v>
      </c>
      <c r="F26" s="2">
        <v>33706</v>
      </c>
      <c r="G26" s="2">
        <v>18035</v>
      </c>
      <c r="H26" s="2">
        <v>341113.53200000001</v>
      </c>
      <c r="I26" s="2">
        <v>-82690.676999999996</v>
      </c>
      <c r="J26" s="2">
        <v>136357.14000000001</v>
      </c>
      <c r="K26" s="2">
        <v>-32759.814999999999</v>
      </c>
      <c r="L26" s="2">
        <v>309206</v>
      </c>
      <c r="M26" s="2">
        <v>38.507300000000001</v>
      </c>
      <c r="N26" s="2">
        <v>-892533.47199999995</v>
      </c>
      <c r="O26" s="2">
        <v>-99821</v>
      </c>
      <c r="P26" s="2">
        <v>18496.487000000001</v>
      </c>
      <c r="Q26" s="2">
        <v>-1694.7344000000001</v>
      </c>
      <c r="R26" s="2">
        <v>82268.188999999998</v>
      </c>
    </row>
    <row r="27" spans="1:18" x14ac:dyDescent="0.25">
      <c r="A27" s="1">
        <v>45382</v>
      </c>
      <c r="B27" s="2">
        <v>753662.17240000004</v>
      </c>
      <c r="C27" s="2">
        <v>129591.24099999999</v>
      </c>
      <c r="D27" s="2">
        <v>10612.813</v>
      </c>
      <c r="E27" s="2">
        <v>641722.01699999999</v>
      </c>
      <c r="F27" s="2">
        <v>-538</v>
      </c>
      <c r="G27" s="2">
        <v>41483</v>
      </c>
      <c r="H27" s="2">
        <v>-123741.784</v>
      </c>
      <c r="I27" s="2">
        <v>-389742.886</v>
      </c>
      <c r="J27" s="2">
        <v>75148.263000000006</v>
      </c>
      <c r="K27" s="2">
        <v>-44675.254999999997</v>
      </c>
      <c r="L27" s="2">
        <v>151853</v>
      </c>
      <c r="M27" s="2">
        <v>-49.656700000000001</v>
      </c>
      <c r="N27" s="2">
        <v>1330859.773</v>
      </c>
      <c r="O27" s="2">
        <v>-48894</v>
      </c>
      <c r="P27" s="2">
        <v>8679.0310000000009</v>
      </c>
      <c r="Q27" s="2">
        <v>85113.983200000002</v>
      </c>
      <c r="R27" s="2">
        <v>-60370.072999999997</v>
      </c>
    </row>
    <row r="28" spans="1:18" x14ac:dyDescent="0.25">
      <c r="A28" s="1">
        <v>45473</v>
      </c>
      <c r="B28" s="2">
        <v>1163050.3267000001</v>
      </c>
      <c r="C28" s="2">
        <v>209952.90299999999</v>
      </c>
      <c r="D28" s="2">
        <v>38280.004000000001</v>
      </c>
      <c r="E28" s="2">
        <v>399834.99200000003</v>
      </c>
      <c r="F28" s="2">
        <v>18711</v>
      </c>
      <c r="G28" s="2">
        <v>59290</v>
      </c>
      <c r="H28" s="2">
        <v>325322.03999999998</v>
      </c>
      <c r="I28" s="2">
        <v>859636.245</v>
      </c>
      <c r="J28" s="2">
        <v>142080.95300000001</v>
      </c>
      <c r="K28" s="2">
        <v>-62575.938000000002</v>
      </c>
      <c r="L28" s="2">
        <v>92401</v>
      </c>
      <c r="M28" s="2">
        <v>54.435200000000002</v>
      </c>
      <c r="N28" s="2">
        <v>-303767.50300000003</v>
      </c>
      <c r="O28" s="2">
        <v>2986</v>
      </c>
      <c r="P28" s="2">
        <v>-43465.766000000003</v>
      </c>
      <c r="Q28" s="2">
        <v>75122.258100000006</v>
      </c>
      <c r="R28" s="2">
        <v>120604.148</v>
      </c>
    </row>
    <row r="29" spans="1:18" x14ac:dyDescent="0.25">
      <c r="A29" s="1">
        <v>45565</v>
      </c>
      <c r="B29" s="2">
        <v>1337866.0967000001</v>
      </c>
      <c r="C29" s="2">
        <v>199603.58799999999</v>
      </c>
      <c r="D29" s="2">
        <v>52213.334000000003</v>
      </c>
      <c r="E29" s="2">
        <v>255433.62100000001</v>
      </c>
      <c r="F29" s="2">
        <v>99101</v>
      </c>
      <c r="G29" s="2">
        <v>73785</v>
      </c>
      <c r="H29" s="2">
        <v>2638021.4679999999</v>
      </c>
      <c r="I29" s="2">
        <v>602512.74199999997</v>
      </c>
      <c r="J29" s="2">
        <v>171456.71</v>
      </c>
      <c r="K29" s="2">
        <v>52329.680999999997</v>
      </c>
      <c r="L29" s="2">
        <v>55749</v>
      </c>
      <c r="M29" s="2">
        <v>137.53559999999999</v>
      </c>
      <c r="N29" s="2">
        <v>-1825996.8929999999</v>
      </c>
      <c r="O29" s="2">
        <v>31193</v>
      </c>
      <c r="P29" s="2">
        <v>-4483.2780000000002</v>
      </c>
      <c r="Q29" s="2">
        <v>-73485.371400000004</v>
      </c>
      <c r="R29" s="2">
        <v>144615.546</v>
      </c>
    </row>
    <row r="30" spans="1:18" x14ac:dyDescent="0.25">
      <c r="A30" s="1">
        <v>45657</v>
      </c>
      <c r="B30" s="2">
        <v>1555948.5700999999</v>
      </c>
      <c r="C30" s="2">
        <v>263127.12699999998</v>
      </c>
      <c r="D30" s="2">
        <v>78065.623000000007</v>
      </c>
      <c r="E30" s="2">
        <v>122101.005</v>
      </c>
      <c r="F30" s="2">
        <v>64905</v>
      </c>
      <c r="G30" s="2">
        <v>108553</v>
      </c>
      <c r="H30" s="2">
        <v>896676.74899999995</v>
      </c>
      <c r="I30" s="2">
        <v>943402.49699999997</v>
      </c>
      <c r="J30" s="2">
        <v>248229.23800000001</v>
      </c>
      <c r="K30" s="2">
        <v>103601.344</v>
      </c>
      <c r="L30" s="2">
        <v>733930</v>
      </c>
      <c r="M30" s="2">
        <v>121.7809</v>
      </c>
      <c r="N30" s="2">
        <v>626706.81099999999</v>
      </c>
      <c r="O30" s="2">
        <v>-57897</v>
      </c>
      <c r="P30" s="2">
        <v>-1584.2619999999999</v>
      </c>
      <c r="Q30" s="2">
        <v>-200863.47140000001</v>
      </c>
      <c r="R30" s="2">
        <v>88047.706000000006</v>
      </c>
    </row>
    <row r="31" spans="1:18" x14ac:dyDescent="0.25">
      <c r="A31" s="1">
        <v>45747</v>
      </c>
      <c r="B31" s="2">
        <v>664675.52549999999</v>
      </c>
      <c r="C31" s="2">
        <v>-203055.01199999999</v>
      </c>
      <c r="D31" s="2">
        <v>35475.186999999998</v>
      </c>
      <c r="E31" s="2">
        <v>-523463.22100000002</v>
      </c>
      <c r="F31" s="2">
        <v>-20445</v>
      </c>
      <c r="G31" s="2">
        <v>87032</v>
      </c>
      <c r="H31" s="2">
        <v>690463.41799999995</v>
      </c>
      <c r="I31" s="2">
        <v>84989.216</v>
      </c>
      <c r="J31" s="2">
        <v>198020.649</v>
      </c>
      <c r="K31" s="2">
        <v>148648.87700000001</v>
      </c>
      <c r="L31" s="2">
        <v>258244</v>
      </c>
      <c r="M31" s="2">
        <v>52</v>
      </c>
      <c r="N31" s="2">
        <v>1165029.2</v>
      </c>
      <c r="O31" s="2">
        <v>-45895</v>
      </c>
      <c r="P31" s="2">
        <v>-10606.046</v>
      </c>
      <c r="Q31" s="2">
        <v>296706.04820000002</v>
      </c>
      <c r="R31" s="2">
        <v>49534.089</v>
      </c>
    </row>
    <row r="32" spans="1:18" x14ac:dyDescent="0.25">
      <c r="A32" s="1">
        <v>45838</v>
      </c>
      <c r="B32" s="2">
        <v>1204360.3829999999</v>
      </c>
      <c r="C32" s="2">
        <v>400002.087</v>
      </c>
      <c r="D32" s="2">
        <v>34328.635999999999</v>
      </c>
      <c r="E32" s="2">
        <v>132471.011</v>
      </c>
      <c r="F32" s="2">
        <v>-42426</v>
      </c>
      <c r="G32" s="2">
        <v>17628</v>
      </c>
      <c r="H32" s="2">
        <v>525448.81599999999</v>
      </c>
      <c r="I32" s="2">
        <v>1018368.557</v>
      </c>
      <c r="J32" s="2">
        <v>131741.76000000001</v>
      </c>
      <c r="K32" s="2">
        <v>175772.47899999999</v>
      </c>
      <c r="L32" s="2">
        <v>167246</v>
      </c>
      <c r="M32" s="2">
        <v>-6</v>
      </c>
      <c r="N32" s="2">
        <v>2817724.8629999999</v>
      </c>
      <c r="O32" s="2">
        <v>192764</v>
      </c>
      <c r="P32" s="2">
        <v>41.054000000000002</v>
      </c>
      <c r="Q32" s="2">
        <v>1994.3382999999999</v>
      </c>
      <c r="R32" s="2">
        <v>106113.053</v>
      </c>
    </row>
    <row r="33" spans="1:18" x14ac:dyDescent="0.25">
      <c r="A33" s="1">
        <v>45930</v>
      </c>
      <c r="B33" s="2">
        <v>1343527.6361</v>
      </c>
      <c r="C33" s="2">
        <v>-324786.01500000001</v>
      </c>
      <c r="D33" s="2">
        <v>88011.622000000003</v>
      </c>
      <c r="E33" s="2">
        <v>-70050.373999999996</v>
      </c>
      <c r="F33" s="2">
        <v>-7048</v>
      </c>
      <c r="G33" s="2">
        <v>28194</v>
      </c>
      <c r="H33" s="2">
        <v>557777.63399999996</v>
      </c>
      <c r="I33" s="2">
        <v>-437359.09100000001</v>
      </c>
      <c r="J33" s="2">
        <v>164033.37899999999</v>
      </c>
      <c r="K33" s="2">
        <v>124415.51</v>
      </c>
      <c r="L33" s="2">
        <v>625528</v>
      </c>
      <c r="M33" s="2">
        <v>347</v>
      </c>
      <c r="N33" s="2">
        <v>850187.48899999994</v>
      </c>
      <c r="O33" s="2">
        <v>141231</v>
      </c>
      <c r="P33" s="2">
        <v>19118.052</v>
      </c>
      <c r="Q33" s="2">
        <v>154782.82879999999</v>
      </c>
      <c r="R33" s="2">
        <v>63882.993999999999</v>
      </c>
    </row>
    <row r="34" spans="1:18" x14ac:dyDescent="0.25">
      <c r="A34" s="1">
        <v>46022</v>
      </c>
      <c r="B34" s="2">
        <v>2308479.2226</v>
      </c>
      <c r="C34" s="2">
        <v>-137967.07999999999</v>
      </c>
      <c r="D34" s="2">
        <v>103843.728</v>
      </c>
      <c r="E34" s="2">
        <v>240587.82500000001</v>
      </c>
      <c r="F34" s="2">
        <v>26858</v>
      </c>
      <c r="G34" s="2">
        <v>-36166</v>
      </c>
      <c r="H34" s="2">
        <v>204888.23199999999</v>
      </c>
      <c r="I34" s="2">
        <v>673320.73</v>
      </c>
      <c r="J34" s="2">
        <v>140663.83199999999</v>
      </c>
      <c r="K34" s="2">
        <v>77221.562000000005</v>
      </c>
      <c r="L34" s="2">
        <v>1381532</v>
      </c>
      <c r="M34" s="2">
        <v>249</v>
      </c>
      <c r="N34" s="2">
        <v>-1776764.926</v>
      </c>
      <c r="O34" s="2">
        <v>-1710</v>
      </c>
      <c r="P34" s="2">
        <v>15077.689</v>
      </c>
      <c r="Q34" s="2">
        <v>-222766.3046</v>
      </c>
      <c r="R34" s="2">
        <v>184972.93799999999</v>
      </c>
    </row>
    <row r="35" spans="1:18" x14ac:dyDescent="0.25">
      <c r="A35" s="1">
        <v>46112</v>
      </c>
      <c r="B35" s="2">
        <v>2282671.2009999999</v>
      </c>
      <c r="C35" s="2">
        <v>-225022.696</v>
      </c>
      <c r="D35" s="2">
        <v>84221.447</v>
      </c>
      <c r="E35" s="2">
        <v>-383383.94900000002</v>
      </c>
      <c r="F35" s="2">
        <v>33175</v>
      </c>
      <c r="G35" s="2">
        <v>36486</v>
      </c>
      <c r="H35" s="2">
        <v>801881.81499999994</v>
      </c>
      <c r="I35" s="2">
        <v>607943.88199999998</v>
      </c>
      <c r="J35" s="2">
        <v>203570.83100000001</v>
      </c>
      <c r="K35" s="2">
        <v>179724.67</v>
      </c>
      <c r="L35" s="2">
        <v>617280</v>
      </c>
      <c r="M35" s="2">
        <v>-255</v>
      </c>
      <c r="N35" s="2">
        <v>1194791.8700000001</v>
      </c>
      <c r="O35" s="2">
        <v>-153707</v>
      </c>
      <c r="P35" s="2">
        <v>-16984.609</v>
      </c>
      <c r="Q35" s="2">
        <v>465426.30119999999</v>
      </c>
      <c r="R35" s="2">
        <v>-38415.053999999996</v>
      </c>
    </row>
    <row r="36" spans="1:18" x14ac:dyDescent="0.25">
      <c r="A36" s="1">
        <v>46203</v>
      </c>
      <c r="B36" s="2">
        <v>3184143.4287</v>
      </c>
      <c r="C36" s="2">
        <v>-355723.44199999998</v>
      </c>
      <c r="D36" s="2">
        <v>47714.97</v>
      </c>
      <c r="E36" s="2">
        <v>-561996.13500000001</v>
      </c>
      <c r="F36" s="2">
        <v>49857</v>
      </c>
      <c r="G36" s="2">
        <v>35413</v>
      </c>
      <c r="H36" s="2">
        <v>392388.39600000001</v>
      </c>
      <c r="I36" s="2">
        <v>-78899.400999999998</v>
      </c>
      <c r="J36" s="2">
        <v>415704.49400000001</v>
      </c>
      <c r="K36" s="2">
        <v>26022.45</v>
      </c>
      <c r="L36" s="2">
        <v>800875</v>
      </c>
      <c r="M36" s="2">
        <v>169</v>
      </c>
      <c r="N36" s="2">
        <v>-1242987.737</v>
      </c>
      <c r="O36" s="2">
        <v>9210</v>
      </c>
      <c r="P36" s="2">
        <v>9217.268</v>
      </c>
      <c r="Q36" s="2">
        <v>339009.22570000001</v>
      </c>
      <c r="R36" s="2">
        <v>163594.77499999999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3738-F7BE-4FBC-A6D2-587731983C13}">
  <dimension ref="A1:R36"/>
  <sheetViews>
    <sheetView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_xll.BDH(B$1,"BS_TOT_ASSET","2017-12-29","","Dir=V","Per=Q","Days=A","Dts=S","cols=2;rows=35")</f>
        <v>43100</v>
      </c>
      <c r="B2" s="2">
        <v>505718</v>
      </c>
      <c r="C2" s="2">
        <f>_xll.BDH(C$1,"BS_TOT_ASSET","2017-12-29","","Dir=V","Per=Q","Days=A","Dts=H","cols=1;rows=35")</f>
        <v>8554.5570000000007</v>
      </c>
      <c r="D2" s="2">
        <f>_xll.BDH(D$1,"BS_TOT_ASSET","2017-12-29","","Dir=V","Per=Q","Days=A","Dts=H","cols=1;rows=35")</f>
        <v>17717.072</v>
      </c>
      <c r="E2" s="2">
        <f>_xll.BDH(E$1,"BS_TOT_ASSET","2017-12-29","","Dir=V","Per=Q","Days=A","Dts=H","cols=1;rows=35")</f>
        <v>92202.42</v>
      </c>
      <c r="F2" s="2">
        <f>_xll.BDH(F$1,"BS_TOT_ASSET","2017-12-29","","Dir=V","Per=Q","Days=A","Dts=H","cols=1;rows=35")</f>
        <v>30970.687999999998</v>
      </c>
      <c r="G2" s="2">
        <f>_xll.BDH(G$1,"BS_TOT_ASSET","2017-12-29","","Dir=V","Per=Q","Days=A","Dts=H","cols=1;rows=35")</f>
        <v>70881.926999999996</v>
      </c>
      <c r="H2" s="2">
        <f>_xll.BDH(H$1,"BS_TOT_ASSET","2017-12-29","","Dir=V","Per=Q","Days=A","Dts=H","cols=1;rows=35")</f>
        <v>226339.07</v>
      </c>
      <c r="I2" s="2">
        <f>_xll.BDH(I$1,"BS_TOT_ASSET","2017-12-29","","Dir=V","Per=Q","Days=A","Dts=H","cols=1;rows=35")</f>
        <v>212944.734</v>
      </c>
      <c r="J2" s="2">
        <f>_xll.BDH(J$1,"BS_TOT_ASSET","2017-12-29","","Dir=V","Per=Q","Days=A","Dts=H","cols=1;rows=35")</f>
        <v>44853.427000000003</v>
      </c>
      <c r="K2" s="2">
        <f>_xll.BDH(K$1,"BS_TOT_ASSET","2017-12-29","","Dir=V","Per=Q","Days=A","Dts=H","cols=1;rows=35")</f>
        <v>37421.279000000002</v>
      </c>
      <c r="L2" s="2">
        <f>_xll.BDH(L$1,"BS_TOT_ASSET","2017-12-29","","Dir=V","Per=Q","Days=A","Dts=H","cols=1;rows=35")</f>
        <v>94070</v>
      </c>
      <c r="M2" s="2">
        <f>_xll.BDH(M$1,"BS_TOT_ASSET","2017-12-29","","Dir=V","Per=Q","Days=A","Dts=H","cols=1;rows=35")</f>
        <v>11447.7202</v>
      </c>
      <c r="N2" s="2">
        <f>_xll.BDH(N$1,"BS_TOT_ASSET","2017-12-29","","Dir=V","Per=Q","Days=A","Dts=H","cols=1;rows=35")</f>
        <v>327309.09499999997</v>
      </c>
      <c r="O2" s="2">
        <f>_xll.BDH(O$1,"BS_TOT_ASSET","2017-12-29","","Dir=V","Per=Q","Days=A","Dts=H","cols=1;rows=35")</f>
        <v>272904</v>
      </c>
      <c r="P2" s="2">
        <f>_xll.BDH(P$1,"BS_TOT_ASSET","2017-12-29","","Dir=V","Per=Q","Days=A","Dts=H","cols=1;rows=35")</f>
        <v>10711.315000000001</v>
      </c>
      <c r="Q2" s="2">
        <f>_xll.BDH(Q$1,"BS_TOT_ASSET","2017-12-29","","Dir=V","Per=Q","Days=A","Dts=H","cols=1;rows=35")</f>
        <v>15178.004300000001</v>
      </c>
      <c r="R2" s="2">
        <f>_xll.BDH(R$1,"BS_TOT_ASSET","2017-12-29","","Dir=V","Per=Q","Days=A","Dts=H","cols=1;rows=35")</f>
        <v>34348.993999999999</v>
      </c>
    </row>
    <row r="3" spans="1:18" x14ac:dyDescent="0.25">
      <c r="A3" s="1">
        <v>43190</v>
      </c>
      <c r="B3" s="2">
        <v>552259</v>
      </c>
      <c r="C3" s="2">
        <v>8153.4912999999997</v>
      </c>
      <c r="D3" s="2">
        <v>8495.1380000000008</v>
      </c>
      <c r="E3" s="2">
        <v>96569.645999999993</v>
      </c>
      <c r="F3" s="2">
        <v>21072.553</v>
      </c>
      <c r="G3" s="2">
        <v>30687.830999999998</v>
      </c>
      <c r="H3" s="2">
        <v>231666.21299999999</v>
      </c>
      <c r="I3" s="2">
        <v>224274.443</v>
      </c>
      <c r="J3" s="2">
        <v>16435.710999999999</v>
      </c>
      <c r="K3" s="2">
        <v>25851.97</v>
      </c>
      <c r="L3" s="2">
        <v>223134</v>
      </c>
      <c r="M3" s="2">
        <v>5801.0136000000002</v>
      </c>
      <c r="N3" s="2">
        <v>565246.17700000003</v>
      </c>
      <c r="O3" s="2">
        <v>295258</v>
      </c>
      <c r="P3" s="2">
        <v>4867.9459999999999</v>
      </c>
      <c r="Q3" s="2">
        <v>17337.954600000001</v>
      </c>
      <c r="R3" s="2">
        <v>27960.703000000001</v>
      </c>
    </row>
    <row r="4" spans="1:18" x14ac:dyDescent="0.25">
      <c r="A4" s="1">
        <v>43281</v>
      </c>
      <c r="B4" s="2">
        <v>761752</v>
      </c>
      <c r="C4" s="2">
        <v>14275.2479</v>
      </c>
      <c r="D4" s="2">
        <v>9340.3279999999995</v>
      </c>
      <c r="E4" s="2">
        <v>120788.978</v>
      </c>
      <c r="F4" s="2">
        <v>24655.252</v>
      </c>
      <c r="G4" s="2">
        <v>32685.07</v>
      </c>
      <c r="H4" s="2">
        <v>271735.14899999998</v>
      </c>
      <c r="I4" s="2">
        <v>268228.12199999997</v>
      </c>
      <c r="J4" s="2">
        <v>26880.035</v>
      </c>
      <c r="K4" s="2">
        <v>27745.440999999999</v>
      </c>
      <c r="L4" s="2">
        <v>232315</v>
      </c>
      <c r="M4" s="2">
        <v>4155.9915000000001</v>
      </c>
      <c r="N4" s="2">
        <v>424654.6</v>
      </c>
      <c r="O4" s="2">
        <v>557674</v>
      </c>
      <c r="P4" s="2">
        <v>7054.8190000000004</v>
      </c>
      <c r="Q4" s="2">
        <v>54291.084300000002</v>
      </c>
      <c r="R4" s="2">
        <v>33547.817999999999</v>
      </c>
    </row>
    <row r="5" spans="1:18" x14ac:dyDescent="0.25">
      <c r="A5" s="1">
        <v>43373</v>
      </c>
      <c r="B5" s="2">
        <v>1068528</v>
      </c>
      <c r="C5" s="2">
        <v>25562.701400000002</v>
      </c>
      <c r="D5" s="2">
        <v>11673.221</v>
      </c>
      <c r="E5" s="2">
        <v>146122.704</v>
      </c>
      <c r="F5" s="2">
        <v>27367.968000000001</v>
      </c>
      <c r="G5" s="2">
        <v>40837.726999999999</v>
      </c>
      <c r="H5" s="2">
        <v>311145.95799999998</v>
      </c>
      <c r="I5" s="2">
        <v>333982.353</v>
      </c>
      <c r="J5" s="2">
        <v>31183.312000000002</v>
      </c>
      <c r="K5" s="2">
        <v>31612.922999999999</v>
      </c>
      <c r="L5" s="2">
        <v>248885</v>
      </c>
      <c r="M5" s="2">
        <v>3463.2339999999999</v>
      </c>
      <c r="N5" s="2">
        <v>517801.23300000001</v>
      </c>
      <c r="O5" s="2">
        <v>514115</v>
      </c>
      <c r="P5" s="2">
        <v>9243.4639999999999</v>
      </c>
      <c r="Q5" s="2">
        <v>28992.864300000001</v>
      </c>
      <c r="R5" s="2">
        <v>44259.546000000002</v>
      </c>
    </row>
    <row r="6" spans="1:18" x14ac:dyDescent="0.25">
      <c r="A6" s="1">
        <v>43465</v>
      </c>
      <c r="B6" s="2">
        <v>994016</v>
      </c>
      <c r="C6" s="2">
        <v>20608.423999999999</v>
      </c>
      <c r="D6" s="2">
        <v>30558.245999999999</v>
      </c>
      <c r="E6" s="2">
        <v>141115.541</v>
      </c>
      <c r="F6" s="2">
        <v>59862.881999999998</v>
      </c>
      <c r="G6" s="2">
        <v>118388.26</v>
      </c>
      <c r="H6" s="2">
        <v>342882.59399999998</v>
      </c>
      <c r="I6" s="2">
        <v>354614.20299999998</v>
      </c>
      <c r="J6" s="2">
        <v>95288.445999999996</v>
      </c>
      <c r="K6" s="2">
        <v>71177.66</v>
      </c>
      <c r="L6" s="2">
        <v>571873</v>
      </c>
      <c r="M6" s="2">
        <v>5679.5484999999999</v>
      </c>
      <c r="N6" s="2">
        <v>565246.17700000003</v>
      </c>
      <c r="O6" s="2">
        <v>455673</v>
      </c>
      <c r="P6" s="2">
        <v>27550.708999999999</v>
      </c>
      <c r="Q6" s="2">
        <v>50582.3505</v>
      </c>
      <c r="R6" s="2">
        <v>88084.228000000003</v>
      </c>
    </row>
    <row r="7" spans="1:18" x14ac:dyDescent="0.25">
      <c r="A7" s="1">
        <v>43555</v>
      </c>
      <c r="B7" s="2">
        <v>1162562</v>
      </c>
      <c r="C7" s="2">
        <v>22083.428</v>
      </c>
      <c r="D7" s="2">
        <v>22287.149000000001</v>
      </c>
      <c r="E7" s="2">
        <v>163849.31099999999</v>
      </c>
      <c r="F7" s="2">
        <v>42094.343999999997</v>
      </c>
      <c r="G7" s="2">
        <v>88488.142000000007</v>
      </c>
      <c r="H7" s="2">
        <v>390295.88099999999</v>
      </c>
      <c r="I7" s="2">
        <v>387741.99599999998</v>
      </c>
      <c r="J7" s="2">
        <v>72469.664000000004</v>
      </c>
      <c r="K7" s="2">
        <v>52649.858999999997</v>
      </c>
      <c r="L7" s="2">
        <v>419264</v>
      </c>
      <c r="M7" s="2">
        <v>5481.1746999999996</v>
      </c>
      <c r="N7" s="2">
        <v>622519.58600000001</v>
      </c>
      <c r="O7" s="2">
        <v>523909</v>
      </c>
      <c r="P7" s="2">
        <v>19661.467000000001</v>
      </c>
      <c r="Q7" s="2">
        <v>59997.231500000002</v>
      </c>
      <c r="R7" s="2">
        <v>66149.841</v>
      </c>
    </row>
    <row r="8" spans="1:18" x14ac:dyDescent="0.25">
      <c r="A8" s="1">
        <v>43646</v>
      </c>
      <c r="B8" s="2">
        <v>1173765</v>
      </c>
      <c r="C8" s="2">
        <v>32944.758000000002</v>
      </c>
      <c r="D8" s="2">
        <v>21474.702000000001</v>
      </c>
      <c r="E8" s="2">
        <v>166144.709</v>
      </c>
      <c r="F8" s="2">
        <v>50160.58</v>
      </c>
      <c r="G8" s="2">
        <v>97147.967999999993</v>
      </c>
      <c r="H8" s="2">
        <v>401032.23300000001</v>
      </c>
      <c r="I8" s="2">
        <v>392891.625</v>
      </c>
      <c r="J8" s="2">
        <v>70947.256999999998</v>
      </c>
      <c r="K8" s="2">
        <v>51739.580999999998</v>
      </c>
      <c r="L8" s="2">
        <v>458868</v>
      </c>
      <c r="M8" s="2">
        <v>5975.1770999999999</v>
      </c>
      <c r="N8" s="2">
        <v>645970.55700000003</v>
      </c>
      <c r="O8" s="2">
        <v>726034</v>
      </c>
      <c r="P8" s="2">
        <v>20543.008000000002</v>
      </c>
      <c r="Q8" s="2">
        <v>91472.221099999995</v>
      </c>
      <c r="R8" s="2">
        <v>84245.570999999996</v>
      </c>
    </row>
    <row r="9" spans="1:18" x14ac:dyDescent="0.25">
      <c r="A9" s="1">
        <v>43738</v>
      </c>
      <c r="B9" s="2">
        <v>1500466</v>
      </c>
      <c r="C9" s="2">
        <v>40535.75</v>
      </c>
      <c r="D9" s="2">
        <v>25573.773000000001</v>
      </c>
      <c r="E9" s="2">
        <v>159815.80600000001</v>
      </c>
      <c r="F9" s="2">
        <v>60621.014999999999</v>
      </c>
      <c r="G9" s="2">
        <v>110359.524</v>
      </c>
      <c r="H9" s="2">
        <v>402656.50599999999</v>
      </c>
      <c r="I9" s="2">
        <v>414077.17499999999</v>
      </c>
      <c r="J9" s="2">
        <v>84119.909</v>
      </c>
      <c r="K9" s="2">
        <v>60974.326999999997</v>
      </c>
      <c r="L9" s="2">
        <v>535112</v>
      </c>
      <c r="M9" s="2">
        <v>5602.8486999999996</v>
      </c>
      <c r="N9" s="2">
        <v>658248.14599999995</v>
      </c>
      <c r="O9" s="2">
        <v>560829</v>
      </c>
      <c r="P9" s="2">
        <v>23495.223000000002</v>
      </c>
      <c r="Q9" s="2">
        <v>70849.561799999996</v>
      </c>
      <c r="R9" s="2">
        <v>104322.97900000001</v>
      </c>
    </row>
    <row r="10" spans="1:18" x14ac:dyDescent="0.25">
      <c r="A10" s="1">
        <v>43830</v>
      </c>
      <c r="B10" s="2">
        <v>1573289</v>
      </c>
      <c r="C10" s="2">
        <v>33443.434999999998</v>
      </c>
      <c r="D10" s="2">
        <v>41244.887999999999</v>
      </c>
      <c r="E10" s="2">
        <v>203428.03200000001</v>
      </c>
      <c r="F10" s="2">
        <v>88473.168999999994</v>
      </c>
      <c r="G10" s="2">
        <v>119472.609</v>
      </c>
      <c r="H10" s="2">
        <v>603972.77599999995</v>
      </c>
      <c r="I10" s="2">
        <v>614814.42599999998</v>
      </c>
      <c r="J10" s="2">
        <v>130152.205</v>
      </c>
      <c r="K10" s="2">
        <v>85276.383000000002</v>
      </c>
      <c r="L10" s="2">
        <v>578150</v>
      </c>
      <c r="M10" s="2">
        <v>5686.3383999999996</v>
      </c>
      <c r="N10" s="2">
        <v>664125.03399999999</v>
      </c>
      <c r="O10" s="2">
        <v>548567</v>
      </c>
      <c r="P10" s="2">
        <v>40914.023000000001</v>
      </c>
      <c r="Q10" s="2">
        <v>78452.700299999997</v>
      </c>
      <c r="R10" s="2">
        <v>118795.97500000001</v>
      </c>
    </row>
    <row r="11" spans="1:18" x14ac:dyDescent="0.25">
      <c r="A11" s="1">
        <v>43921</v>
      </c>
      <c r="B11" s="2">
        <v>1660977</v>
      </c>
      <c r="C11" s="2">
        <v>50282.434000000001</v>
      </c>
      <c r="D11" s="2">
        <v>33275.813999999998</v>
      </c>
      <c r="E11" s="2">
        <v>196972.97399999999</v>
      </c>
      <c r="F11" s="2">
        <v>65591.254000000001</v>
      </c>
      <c r="G11" s="2">
        <v>130749</v>
      </c>
      <c r="H11" s="2">
        <v>506782.47600000002</v>
      </c>
      <c r="I11" s="2">
        <v>512654.27500000002</v>
      </c>
      <c r="J11" s="2">
        <v>102399.41</v>
      </c>
      <c r="K11" s="2">
        <v>67780.517000000007</v>
      </c>
      <c r="L11" s="2">
        <v>625800</v>
      </c>
      <c r="M11" s="2">
        <v>5528.4916000000003</v>
      </c>
      <c r="N11" s="2">
        <v>781497.26500000001</v>
      </c>
      <c r="O11" s="2">
        <v>576494</v>
      </c>
      <c r="P11" s="2">
        <v>31634.106</v>
      </c>
      <c r="Q11" s="2">
        <v>82748.010200000004</v>
      </c>
      <c r="R11" s="2">
        <v>123943.137</v>
      </c>
    </row>
    <row r="12" spans="1:18" x14ac:dyDescent="0.25">
      <c r="A12" s="1">
        <v>44012</v>
      </c>
      <c r="B12" s="2">
        <v>1677091</v>
      </c>
      <c r="C12" s="2">
        <v>62164.792999999998</v>
      </c>
      <c r="D12" s="2">
        <v>36074.451000000001</v>
      </c>
      <c r="E12" s="2">
        <v>226550.647</v>
      </c>
      <c r="F12" s="2">
        <v>59035.665000000001</v>
      </c>
      <c r="G12" s="2">
        <v>138784.22099999999</v>
      </c>
      <c r="H12" s="2">
        <v>625359.58100000001</v>
      </c>
      <c r="I12" s="2">
        <v>542079.68400000001</v>
      </c>
      <c r="J12" s="2">
        <v>110004.76</v>
      </c>
      <c r="K12" s="2">
        <v>69154.320999999996</v>
      </c>
      <c r="L12" s="2">
        <v>663592</v>
      </c>
      <c r="M12" s="2">
        <v>5375.5</v>
      </c>
      <c r="N12" s="2">
        <v>892993.91099999996</v>
      </c>
      <c r="O12" s="2">
        <v>686940</v>
      </c>
      <c r="P12" s="2">
        <v>32809.249000000003</v>
      </c>
      <c r="Q12" s="2">
        <v>121669.79979999999</v>
      </c>
      <c r="R12" s="2">
        <v>127956.087</v>
      </c>
    </row>
    <row r="13" spans="1:18" x14ac:dyDescent="0.25">
      <c r="A13" s="1">
        <v>44104</v>
      </c>
      <c r="B13" s="2">
        <v>1742686</v>
      </c>
      <c r="C13" s="2">
        <v>63783.527999999998</v>
      </c>
      <c r="D13" s="2">
        <v>39658.534</v>
      </c>
      <c r="E13" s="2">
        <v>236188.26</v>
      </c>
      <c r="F13" s="2">
        <v>65789.884999999995</v>
      </c>
      <c r="G13" s="2">
        <v>155519.36799999999</v>
      </c>
      <c r="H13" s="2">
        <v>730723.40300000005</v>
      </c>
      <c r="I13" s="2">
        <v>589836.35600000003</v>
      </c>
      <c r="J13" s="2">
        <v>120002.086</v>
      </c>
      <c r="K13" s="2">
        <v>73764.979000000007</v>
      </c>
      <c r="L13" s="2">
        <v>692852</v>
      </c>
      <c r="M13" s="2">
        <v>5544.9144999999999</v>
      </c>
      <c r="N13" s="2">
        <v>948631.03300000005</v>
      </c>
      <c r="O13" s="2">
        <v>266894</v>
      </c>
      <c r="P13" s="2">
        <v>35129.451999999997</v>
      </c>
      <c r="Q13" s="2">
        <v>81349.584300000002</v>
      </c>
      <c r="R13" s="2">
        <v>144028.62899999999</v>
      </c>
    </row>
    <row r="14" spans="1:18" x14ac:dyDescent="0.25">
      <c r="A14" s="1">
        <v>44196</v>
      </c>
      <c r="B14" s="2">
        <v>1923225</v>
      </c>
      <c r="C14" s="2">
        <v>106665.281</v>
      </c>
      <c r="D14" s="2">
        <v>45581.343999999997</v>
      </c>
      <c r="E14" s="2">
        <v>377231.72499999998</v>
      </c>
      <c r="F14" s="2">
        <v>100242.966</v>
      </c>
      <c r="G14" s="2">
        <v>148796</v>
      </c>
      <c r="H14" s="2">
        <v>1162101.4620000001</v>
      </c>
      <c r="I14" s="2">
        <v>1038430.226</v>
      </c>
      <c r="J14" s="2">
        <v>128594.36599999999</v>
      </c>
      <c r="K14" s="2">
        <v>111376.012</v>
      </c>
      <c r="L14" s="2">
        <v>1135163</v>
      </c>
      <c r="M14" s="2">
        <v>4890.9331000000002</v>
      </c>
      <c r="N14" s="2">
        <v>1596883.7450000001</v>
      </c>
      <c r="O14" s="2">
        <v>273482</v>
      </c>
      <c r="P14" s="2">
        <v>56338.182000000001</v>
      </c>
      <c r="Q14" s="2">
        <v>90572.665200000003</v>
      </c>
      <c r="R14" s="2">
        <v>239075.86199999999</v>
      </c>
    </row>
    <row r="15" spans="1:18" x14ac:dyDescent="0.25">
      <c r="A15" s="1">
        <v>44286</v>
      </c>
      <c r="B15" s="2">
        <v>2085311</v>
      </c>
      <c r="C15" s="2">
        <v>110243.319</v>
      </c>
      <c r="D15" s="2">
        <v>49090.807000000001</v>
      </c>
      <c r="E15" s="2">
        <v>293267.96100000001</v>
      </c>
      <c r="F15" s="2">
        <v>69427.626000000004</v>
      </c>
      <c r="G15" s="2">
        <v>169251</v>
      </c>
      <c r="H15" s="2">
        <v>765793.27500000002</v>
      </c>
      <c r="I15" s="2">
        <v>741948.85400000005</v>
      </c>
      <c r="J15" s="2">
        <v>149985.223</v>
      </c>
      <c r="K15" s="2">
        <v>81261.47</v>
      </c>
      <c r="L15" s="2">
        <v>855323</v>
      </c>
      <c r="M15" s="2">
        <v>4950.2389999999996</v>
      </c>
      <c r="N15" s="2">
        <v>1172939.615</v>
      </c>
      <c r="O15" s="2">
        <v>300006</v>
      </c>
      <c r="P15" s="2">
        <v>37648.752</v>
      </c>
      <c r="Q15" s="2">
        <v>171081.47089999999</v>
      </c>
      <c r="R15" s="2">
        <v>171800.783</v>
      </c>
    </row>
    <row r="16" spans="1:18" x14ac:dyDescent="0.25">
      <c r="A16" s="1">
        <v>44377</v>
      </c>
      <c r="B16" s="2">
        <v>2162705</v>
      </c>
      <c r="C16" s="2">
        <v>109237.186</v>
      </c>
      <c r="D16" s="2">
        <v>54034.726999999999</v>
      </c>
      <c r="E16" s="2">
        <v>321031.37400000001</v>
      </c>
      <c r="F16" s="2">
        <v>78172.294999999998</v>
      </c>
      <c r="G16" s="2">
        <v>192893</v>
      </c>
      <c r="H16" s="2">
        <v>810893.20299999998</v>
      </c>
      <c r="I16" s="2">
        <v>864390.62800000003</v>
      </c>
      <c r="J16" s="2">
        <v>166178.742</v>
      </c>
      <c r="K16" s="2">
        <v>87495.707999999999</v>
      </c>
      <c r="L16" s="2">
        <v>939414</v>
      </c>
      <c r="M16" s="2">
        <v>3647.2139000000002</v>
      </c>
      <c r="N16" s="2">
        <v>1343198.6140000001</v>
      </c>
      <c r="O16" s="2">
        <v>556183</v>
      </c>
      <c r="P16" s="2">
        <v>42270.002</v>
      </c>
      <c r="Q16" s="2">
        <v>115171.7629</v>
      </c>
      <c r="R16" s="2">
        <v>182090.06899999999</v>
      </c>
    </row>
    <row r="17" spans="1:18" x14ac:dyDescent="0.25">
      <c r="A17" s="1">
        <v>44469</v>
      </c>
      <c r="B17" s="2">
        <v>2273351</v>
      </c>
      <c r="C17" s="2">
        <v>152132.867</v>
      </c>
      <c r="D17" s="2">
        <v>51206.258999999998</v>
      </c>
      <c r="E17" s="2">
        <v>368678.95899999997</v>
      </c>
      <c r="F17" s="2">
        <v>87462.217000000004</v>
      </c>
      <c r="G17" s="2">
        <v>216728</v>
      </c>
      <c r="H17" s="2">
        <v>899121.33100000001</v>
      </c>
      <c r="I17" s="2">
        <v>914205.99399999995</v>
      </c>
      <c r="J17" s="2">
        <v>184134.61900000001</v>
      </c>
      <c r="K17" s="2">
        <v>92919.337</v>
      </c>
      <c r="L17" s="2">
        <v>978518</v>
      </c>
      <c r="M17" s="2">
        <v>3763.4364999999998</v>
      </c>
      <c r="N17" s="2">
        <v>1476068.463</v>
      </c>
      <c r="O17" s="2">
        <v>349792</v>
      </c>
      <c r="P17" s="2">
        <v>46506.129000000001</v>
      </c>
      <c r="Q17" s="2">
        <v>129424.3783</v>
      </c>
      <c r="R17" s="2">
        <v>192306.70499999999</v>
      </c>
    </row>
    <row r="18" spans="1:18" x14ac:dyDescent="0.25">
      <c r="A18" s="1">
        <v>44561</v>
      </c>
      <c r="B18" s="2">
        <v>2390068</v>
      </c>
      <c r="C18" s="2">
        <v>156366.72099999999</v>
      </c>
      <c r="D18" s="2">
        <v>109550.611</v>
      </c>
      <c r="E18" s="2">
        <v>735627.18200000003</v>
      </c>
      <c r="F18" s="2">
        <v>87462.217000000004</v>
      </c>
      <c r="G18" s="2">
        <v>463268</v>
      </c>
      <c r="H18" s="2">
        <v>1943454.0619999999</v>
      </c>
      <c r="I18" s="2">
        <v>2006747.334</v>
      </c>
      <c r="J18" s="2">
        <v>405519.91600000003</v>
      </c>
      <c r="K18" s="2">
        <v>178469.50099999999</v>
      </c>
      <c r="L18" s="2">
        <v>2101802</v>
      </c>
      <c r="M18" s="2">
        <v>3860.7831000000001</v>
      </c>
      <c r="N18" s="2">
        <v>3271221.5430000001</v>
      </c>
      <c r="O18" s="2">
        <v>408339</v>
      </c>
      <c r="P18" s="2">
        <v>97835.358999999997</v>
      </c>
      <c r="Q18" s="2">
        <v>146741.8664</v>
      </c>
      <c r="R18" s="2">
        <v>200958.88399999999</v>
      </c>
    </row>
    <row r="19" spans="1:18" x14ac:dyDescent="0.25">
      <c r="A19" s="1">
        <v>44651</v>
      </c>
      <c r="B19" s="2">
        <v>2615296</v>
      </c>
      <c r="C19" s="2">
        <v>103060.107</v>
      </c>
      <c r="D19" s="2">
        <v>63223.341</v>
      </c>
      <c r="E19" s="2">
        <v>446239.28499999997</v>
      </c>
      <c r="F19" s="2">
        <v>101136</v>
      </c>
      <c r="G19" s="2">
        <v>273964</v>
      </c>
      <c r="H19" s="2">
        <v>1140633.9099999999</v>
      </c>
      <c r="I19" s="2">
        <v>1169081.3670000001</v>
      </c>
      <c r="J19" s="2">
        <v>247038.769</v>
      </c>
      <c r="K19" s="2">
        <v>101924.61</v>
      </c>
      <c r="L19" s="2">
        <v>1239670</v>
      </c>
      <c r="M19" s="2">
        <v>4062.1136000000001</v>
      </c>
      <c r="N19" s="2">
        <v>1829556.923</v>
      </c>
      <c r="O19" s="2">
        <v>430690</v>
      </c>
      <c r="P19" s="2">
        <v>59159.023000000001</v>
      </c>
      <c r="Q19" s="2">
        <v>171081.47089999999</v>
      </c>
      <c r="R19" s="2">
        <v>230751.57800000001</v>
      </c>
    </row>
    <row r="20" spans="1:18" x14ac:dyDescent="0.25">
      <c r="A20" s="1">
        <v>44742</v>
      </c>
      <c r="B20" s="2">
        <v>3052090</v>
      </c>
      <c r="C20" s="2">
        <v>127306.35400000001</v>
      </c>
      <c r="D20" s="2">
        <v>75915.880999999994</v>
      </c>
      <c r="E20" s="2">
        <v>543071.81299999997</v>
      </c>
      <c r="F20" s="2">
        <v>120411</v>
      </c>
      <c r="G20" s="2">
        <v>325529</v>
      </c>
      <c r="H20" s="2">
        <v>1376116.6129999999</v>
      </c>
      <c r="I20" s="2">
        <v>1405320.301</v>
      </c>
      <c r="J20" s="2">
        <v>281837.98300000001</v>
      </c>
      <c r="K20" s="2">
        <v>116864.026</v>
      </c>
      <c r="L20" s="2">
        <v>1402591</v>
      </c>
      <c r="M20" s="2">
        <v>4231.4526999999998</v>
      </c>
      <c r="N20" s="2">
        <v>2219103.0120000001</v>
      </c>
      <c r="O20" s="2">
        <v>1140909</v>
      </c>
      <c r="P20" s="2">
        <v>67798.391000000003</v>
      </c>
      <c r="Q20" s="2">
        <v>472039.02919999999</v>
      </c>
      <c r="R20" s="2">
        <v>270855.05599999998</v>
      </c>
    </row>
    <row r="21" spans="1:18" x14ac:dyDescent="0.25">
      <c r="A21" s="1">
        <v>44834</v>
      </c>
      <c r="B21" s="2">
        <v>3722803</v>
      </c>
      <c r="C21" s="2">
        <v>166027.95300000001</v>
      </c>
      <c r="D21" s="2">
        <v>92725.497000000003</v>
      </c>
      <c r="E21" s="2">
        <v>562812.49</v>
      </c>
      <c r="F21" s="2">
        <v>147326</v>
      </c>
      <c r="G21" s="2">
        <v>400268</v>
      </c>
      <c r="H21" s="2">
        <v>1765122.105</v>
      </c>
      <c r="I21" s="2">
        <v>1601379.128</v>
      </c>
      <c r="J21" s="2">
        <v>347418.28600000002</v>
      </c>
      <c r="K21" s="2">
        <v>140255.253</v>
      </c>
      <c r="L21" s="2">
        <v>1478137</v>
      </c>
      <c r="M21" s="2">
        <v>4628.8114999999998</v>
      </c>
      <c r="N21" s="2">
        <v>2671603.2319999998</v>
      </c>
      <c r="O21" s="2">
        <v>624042</v>
      </c>
      <c r="P21" s="2">
        <v>84830.213000000003</v>
      </c>
      <c r="Q21" s="2">
        <v>258962.15299999999</v>
      </c>
      <c r="R21" s="2">
        <v>324454.39</v>
      </c>
    </row>
    <row r="22" spans="1:18" x14ac:dyDescent="0.25">
      <c r="A22" s="1">
        <v>44926</v>
      </c>
      <c r="B22" s="2">
        <v>4588159</v>
      </c>
      <c r="C22" s="2">
        <v>620597.83700000006</v>
      </c>
      <c r="D22" s="2">
        <v>337294.51899999997</v>
      </c>
      <c r="E22" s="2">
        <v>2171869.3769999999</v>
      </c>
      <c r="F22" s="2">
        <v>488254</v>
      </c>
      <c r="G22" s="2">
        <v>1495182</v>
      </c>
      <c r="H22" s="2">
        <v>6509835.1720000003</v>
      </c>
      <c r="I22" s="2">
        <v>6099931.9919999996</v>
      </c>
      <c r="J22" s="2">
        <v>1283286.6869999999</v>
      </c>
      <c r="K22" s="2">
        <v>509147.15</v>
      </c>
      <c r="L22" s="2">
        <v>5384152</v>
      </c>
      <c r="M22" s="2">
        <v>4742.5607</v>
      </c>
      <c r="N22" s="2">
        <v>10541601.092</v>
      </c>
      <c r="O22" s="2">
        <v>713603</v>
      </c>
      <c r="P22" s="2">
        <v>296053.79499999998</v>
      </c>
      <c r="Q22" s="2">
        <v>298966.02110000001</v>
      </c>
      <c r="R22" s="2">
        <v>1189401.1299999999</v>
      </c>
    </row>
    <row r="23" spans="1:18" x14ac:dyDescent="0.25">
      <c r="A23" s="1">
        <v>45016</v>
      </c>
      <c r="B23" s="2">
        <v>5490081</v>
      </c>
      <c r="C23" s="2">
        <v>248149.35200000001</v>
      </c>
      <c r="D23" s="2">
        <v>135855.24400000001</v>
      </c>
      <c r="E23" s="2">
        <v>761084.97600000002</v>
      </c>
      <c r="F23" s="2">
        <v>181118</v>
      </c>
      <c r="G23" s="2">
        <v>600270</v>
      </c>
      <c r="H23" s="2">
        <v>2430128.841</v>
      </c>
      <c r="I23" s="2">
        <v>2359830.3859999999</v>
      </c>
      <c r="J23" s="2">
        <v>504621.76799999998</v>
      </c>
      <c r="K23" s="2">
        <v>214991.89499999999</v>
      </c>
      <c r="L23" s="2">
        <v>2109171</v>
      </c>
      <c r="M23" s="2">
        <v>5001.9522999999999</v>
      </c>
      <c r="N23" s="2">
        <v>3799704.966</v>
      </c>
      <c r="O23" s="2">
        <v>847714</v>
      </c>
      <c r="P23" s="2">
        <v>118251.716</v>
      </c>
      <c r="Q23" s="2">
        <v>362895.69059999997</v>
      </c>
      <c r="R23" s="2">
        <v>476627.70899999997</v>
      </c>
    </row>
    <row r="24" spans="1:18" x14ac:dyDescent="0.25">
      <c r="A24" s="1">
        <v>45107</v>
      </c>
      <c r="B24" s="2">
        <v>6926664</v>
      </c>
      <c r="C24" s="2">
        <v>303541.97200000001</v>
      </c>
      <c r="D24" s="2">
        <v>169338.31700000001</v>
      </c>
      <c r="E24" s="2">
        <v>1033300.29</v>
      </c>
      <c r="F24" s="2">
        <v>233630</v>
      </c>
      <c r="G24" s="2">
        <v>757515</v>
      </c>
      <c r="H24" s="2">
        <v>3180398.122</v>
      </c>
      <c r="I24" s="2">
        <v>3133298.9049999998</v>
      </c>
      <c r="J24" s="2">
        <v>648801.09400000004</v>
      </c>
      <c r="K24" s="2">
        <v>268529.55800000002</v>
      </c>
      <c r="L24" s="2">
        <v>2531790</v>
      </c>
      <c r="M24" s="2">
        <v>5202.2511000000004</v>
      </c>
      <c r="N24" s="2">
        <v>4858912.2630000003</v>
      </c>
      <c r="O24" s="2">
        <v>3972964</v>
      </c>
      <c r="P24" s="2">
        <v>148355.53099999999</v>
      </c>
      <c r="Q24" s="2">
        <v>1705116.6092000001</v>
      </c>
      <c r="R24" s="2">
        <v>570739.56200000003</v>
      </c>
    </row>
    <row r="25" spans="1:18" x14ac:dyDescent="0.25">
      <c r="A25" s="1">
        <v>45199</v>
      </c>
      <c r="B25" s="2">
        <v>9381545</v>
      </c>
      <c r="C25" s="2">
        <v>690469.43799999997</v>
      </c>
      <c r="D25" s="2">
        <v>230649.65599999999</v>
      </c>
      <c r="E25" s="2">
        <v>1291688.0789999999</v>
      </c>
      <c r="F25" s="2">
        <v>323039</v>
      </c>
      <c r="G25" s="2">
        <v>1011454</v>
      </c>
      <c r="H25" s="2">
        <v>3708274.2209999999</v>
      </c>
      <c r="I25" s="2">
        <v>3881987.0619999999</v>
      </c>
      <c r="J25" s="2">
        <v>898768.36899999995</v>
      </c>
      <c r="K25" s="2">
        <v>361189.41399999999</v>
      </c>
      <c r="L25" s="2">
        <v>3385351</v>
      </c>
      <c r="M25" s="2">
        <v>5181.0316999999995</v>
      </c>
      <c r="N25" s="2">
        <v>6266278.8360000001</v>
      </c>
      <c r="O25" s="2">
        <v>1556539</v>
      </c>
      <c r="P25" s="2">
        <v>222342.79199999999</v>
      </c>
      <c r="Q25" s="2">
        <v>624649.35279999999</v>
      </c>
      <c r="R25" s="2">
        <v>783451.09600000002</v>
      </c>
    </row>
    <row r="26" spans="1:18" x14ac:dyDescent="0.25">
      <c r="A26" s="1">
        <v>45291</v>
      </c>
      <c r="B26" s="2">
        <v>20202123</v>
      </c>
      <c r="C26" s="2">
        <v>2334603.1850000001</v>
      </c>
      <c r="D26" s="2">
        <v>765960.14300000004</v>
      </c>
      <c r="E26" s="2">
        <v>4484412.1639999999</v>
      </c>
      <c r="F26" s="2">
        <v>993640</v>
      </c>
      <c r="G26" s="2">
        <v>3285627</v>
      </c>
      <c r="H26" s="2">
        <v>13544368.814999999</v>
      </c>
      <c r="I26" s="2">
        <v>13336901.096000001</v>
      </c>
      <c r="J26" s="2">
        <v>3322617.568</v>
      </c>
      <c r="K26" s="2">
        <v>1218191.1129999999</v>
      </c>
      <c r="L26" s="2">
        <v>11928224</v>
      </c>
      <c r="M26" s="2">
        <v>4721.4763000000003</v>
      </c>
      <c r="N26" s="2">
        <v>22397168.851</v>
      </c>
      <c r="O26" s="2">
        <v>2693733</v>
      </c>
      <c r="P26" s="2">
        <v>691756.04099999997</v>
      </c>
      <c r="Q26" s="2">
        <v>1100667.6968</v>
      </c>
      <c r="R26" s="2">
        <v>3055850.0729999999</v>
      </c>
    </row>
    <row r="27" spans="1:18" x14ac:dyDescent="0.25">
      <c r="A27" s="1">
        <v>45382</v>
      </c>
      <c r="B27" s="2">
        <v>22856109.122699998</v>
      </c>
      <c r="C27" s="2">
        <v>1392965.169</v>
      </c>
      <c r="D27" s="2">
        <v>527901.54700000002</v>
      </c>
      <c r="E27" s="2">
        <v>2571997.057</v>
      </c>
      <c r="F27" s="2">
        <v>649387</v>
      </c>
      <c r="G27" s="2">
        <v>2464557</v>
      </c>
      <c r="H27" s="2">
        <v>9998065.7670000009</v>
      </c>
      <c r="I27" s="2">
        <v>8104497.3990000002</v>
      </c>
      <c r="J27" s="2">
        <v>3685485.2659999998</v>
      </c>
      <c r="K27" s="2">
        <v>820453.82299999997</v>
      </c>
      <c r="L27" s="2">
        <v>8143553</v>
      </c>
      <c r="M27" s="2">
        <v>5209.7124000000003</v>
      </c>
      <c r="N27" s="2">
        <v>13352725.396</v>
      </c>
      <c r="O27" s="2">
        <v>2985924</v>
      </c>
      <c r="P27" s="2">
        <v>542661.50300000003</v>
      </c>
      <c r="Q27" s="2">
        <v>1734894.8019000001</v>
      </c>
      <c r="R27" s="2">
        <v>1963210.53</v>
      </c>
    </row>
    <row r="28" spans="1:18" x14ac:dyDescent="0.25">
      <c r="A28" s="1">
        <v>45473</v>
      </c>
      <c r="B28" s="2">
        <v>25101737.9142</v>
      </c>
      <c r="C28" s="2">
        <v>1242219.575</v>
      </c>
      <c r="D28" s="2">
        <v>636540.64800000004</v>
      </c>
      <c r="E28" s="2">
        <v>3339955.5529999998</v>
      </c>
      <c r="F28" s="2">
        <v>885126</v>
      </c>
      <c r="G28" s="2">
        <v>2987057</v>
      </c>
      <c r="H28" s="2">
        <v>10367298.163000001</v>
      </c>
      <c r="I28" s="2">
        <v>9541317.7789999992</v>
      </c>
      <c r="J28" s="2">
        <v>2610414.14</v>
      </c>
      <c r="K28" s="2">
        <v>846250.05200000003</v>
      </c>
      <c r="L28" s="2">
        <v>9335748</v>
      </c>
      <c r="M28" s="2">
        <v>5451.9044999999996</v>
      </c>
      <c r="N28" s="2">
        <v>17447116.993000001</v>
      </c>
      <c r="O28" s="2">
        <v>4842217</v>
      </c>
      <c r="P28" s="2">
        <v>616174.71699999995</v>
      </c>
      <c r="Q28" s="2">
        <v>2747033.0224000001</v>
      </c>
      <c r="R28" s="2">
        <v>2262511.2349999999</v>
      </c>
    </row>
    <row r="29" spans="1:18" x14ac:dyDescent="0.25">
      <c r="A29" s="1">
        <v>45565</v>
      </c>
      <c r="B29" s="2">
        <v>27888073.375799999</v>
      </c>
      <c r="C29" s="2">
        <v>1697433.6329999999</v>
      </c>
      <c r="D29" s="2">
        <v>736258.11199999996</v>
      </c>
      <c r="E29" s="2">
        <v>3997606.6069999998</v>
      </c>
      <c r="F29" s="2">
        <v>1083917</v>
      </c>
      <c r="G29" s="2">
        <v>3505311</v>
      </c>
      <c r="H29" s="2">
        <v>14237764.056</v>
      </c>
      <c r="I29" s="2">
        <v>12552531.436000001</v>
      </c>
      <c r="J29" s="2">
        <v>2977856.6370000001</v>
      </c>
      <c r="K29" s="2">
        <v>980234.43500000006</v>
      </c>
      <c r="L29" s="2">
        <v>10193592</v>
      </c>
      <c r="M29" s="2">
        <v>5869.1027999999997</v>
      </c>
      <c r="N29" s="2">
        <v>23118650.340999998</v>
      </c>
      <c r="O29" s="2">
        <v>3699441</v>
      </c>
      <c r="P29" s="2">
        <v>637927.68700000003</v>
      </c>
      <c r="Q29" s="2">
        <v>2235727.3119999999</v>
      </c>
      <c r="R29" s="2">
        <v>2572425.523</v>
      </c>
    </row>
    <row r="30" spans="1:18" x14ac:dyDescent="0.25">
      <c r="A30" s="1">
        <v>45657</v>
      </c>
      <c r="B30" s="2">
        <v>30301683.074099999</v>
      </c>
      <c r="C30" s="2">
        <v>1601831.997</v>
      </c>
      <c r="D30" s="2">
        <v>1111532.561</v>
      </c>
      <c r="E30" s="2">
        <v>5957874.0530000003</v>
      </c>
      <c r="F30" s="2">
        <v>1447941</v>
      </c>
      <c r="G30" s="2">
        <v>5235080</v>
      </c>
      <c r="H30" s="2">
        <v>19065429.623</v>
      </c>
      <c r="I30" s="2">
        <v>19370448.517000001</v>
      </c>
      <c r="J30" s="2">
        <v>4465551.9349999996</v>
      </c>
      <c r="K30" s="2">
        <v>1341362.0859999999</v>
      </c>
      <c r="L30" s="2">
        <v>14393744</v>
      </c>
      <c r="M30" s="2">
        <v>6352.0529999999999</v>
      </c>
      <c r="N30" s="2">
        <v>42874214.629000001</v>
      </c>
      <c r="O30" s="2">
        <v>3955326</v>
      </c>
      <c r="P30" s="2">
        <v>839287.44900000002</v>
      </c>
      <c r="Q30" s="2">
        <v>2408242.0643000002</v>
      </c>
      <c r="R30" s="2">
        <v>3501901.65</v>
      </c>
    </row>
    <row r="31" spans="1:18" x14ac:dyDescent="0.25">
      <c r="A31" s="1">
        <v>45747</v>
      </c>
      <c r="B31" s="2">
        <v>31887433.501400001</v>
      </c>
      <c r="C31" s="2">
        <v>1540189.8859999999</v>
      </c>
      <c r="D31" s="2">
        <v>934058.61800000002</v>
      </c>
      <c r="E31" s="2">
        <v>5365339.42</v>
      </c>
      <c r="F31" s="2">
        <v>1149495</v>
      </c>
      <c r="G31" s="2">
        <v>4342398</v>
      </c>
      <c r="H31" s="2">
        <v>16144043.071</v>
      </c>
      <c r="I31" s="2">
        <v>16288455.732000001</v>
      </c>
      <c r="J31" s="2">
        <v>3746534.1630000002</v>
      </c>
      <c r="K31" s="2">
        <v>1136500.8959999999</v>
      </c>
      <c r="L31" s="2">
        <v>14035721</v>
      </c>
      <c r="M31" s="2">
        <v>6199</v>
      </c>
      <c r="N31" s="2">
        <v>34876667.722999997</v>
      </c>
      <c r="O31" s="2">
        <v>4621796</v>
      </c>
      <c r="P31" s="2">
        <v>689616.81900000002</v>
      </c>
      <c r="Q31" s="2">
        <v>2629109.2045999998</v>
      </c>
      <c r="R31" s="2">
        <v>2966164.696</v>
      </c>
    </row>
    <row r="32" spans="1:18" x14ac:dyDescent="0.25">
      <c r="A32" s="1">
        <v>45838</v>
      </c>
      <c r="B32" s="2">
        <v>34636717.181500003</v>
      </c>
      <c r="C32" s="2">
        <v>1720802.3319999999</v>
      </c>
      <c r="D32" s="2">
        <v>1021829.6949999999</v>
      </c>
      <c r="E32" s="2">
        <v>6034280.1529999999</v>
      </c>
      <c r="F32" s="2">
        <v>1624581</v>
      </c>
      <c r="G32" s="2">
        <v>4664348</v>
      </c>
      <c r="H32" s="2">
        <v>18457043.362</v>
      </c>
      <c r="I32" s="2">
        <v>19264453.541000001</v>
      </c>
      <c r="J32" s="2">
        <v>3709942.55</v>
      </c>
      <c r="K32" s="2">
        <v>1097930.0249999999</v>
      </c>
      <c r="L32" s="2">
        <v>14558789</v>
      </c>
      <c r="M32" s="2">
        <v>6122</v>
      </c>
      <c r="N32" s="2">
        <v>37696051.229000002</v>
      </c>
      <c r="O32" s="2">
        <v>6796006</v>
      </c>
      <c r="P32" s="2">
        <v>702146.73300000001</v>
      </c>
      <c r="Q32" s="2">
        <v>3760333.7308</v>
      </c>
      <c r="R32" s="2">
        <v>3198559.9950000001</v>
      </c>
    </row>
    <row r="33" spans="1:18" x14ac:dyDescent="0.25">
      <c r="A33" s="1">
        <v>45930</v>
      </c>
      <c r="B33" s="2">
        <v>40764568.538800001</v>
      </c>
      <c r="C33" s="2">
        <v>2395930.38</v>
      </c>
      <c r="D33" s="2">
        <v>1029319.785</v>
      </c>
      <c r="E33" s="2">
        <v>7458100.2779999999</v>
      </c>
      <c r="F33" s="2">
        <v>1374711</v>
      </c>
      <c r="G33" s="2">
        <v>5073131</v>
      </c>
      <c r="H33" s="2">
        <v>20562862.688000001</v>
      </c>
      <c r="I33" s="2">
        <v>22166552.840999998</v>
      </c>
      <c r="J33" s="2">
        <v>4104978.7779999999</v>
      </c>
      <c r="K33" s="2">
        <v>1263838.879</v>
      </c>
      <c r="L33" s="2">
        <v>15630443</v>
      </c>
      <c r="M33" s="2">
        <v>6237</v>
      </c>
      <c r="N33" s="2">
        <v>41995958.490000002</v>
      </c>
      <c r="O33" s="2">
        <v>5839158</v>
      </c>
      <c r="P33" s="2">
        <v>759962.43400000001</v>
      </c>
      <c r="Q33" s="2">
        <v>3021135.1047999999</v>
      </c>
      <c r="R33" s="2">
        <v>3655508.1779999998</v>
      </c>
    </row>
    <row r="34" spans="1:18" x14ac:dyDescent="0.25">
      <c r="A34" s="1">
        <v>46022</v>
      </c>
      <c r="B34" s="2">
        <v>42734335.384800002</v>
      </c>
      <c r="C34" s="2">
        <v>2410471.8509999998</v>
      </c>
      <c r="D34" s="2">
        <v>1319627.257</v>
      </c>
      <c r="E34" s="2">
        <v>9104091.7689999994</v>
      </c>
      <c r="F34" s="2">
        <v>1624581</v>
      </c>
      <c r="G34" s="2">
        <v>6729603</v>
      </c>
      <c r="H34" s="2">
        <v>27161889.259</v>
      </c>
      <c r="I34" s="2">
        <v>29689151.809</v>
      </c>
      <c r="J34" s="2">
        <v>6339517.3650000002</v>
      </c>
      <c r="K34" s="2">
        <v>1302696.1869999999</v>
      </c>
      <c r="L34" s="2">
        <v>18192087</v>
      </c>
      <c r="M34" s="2">
        <v>6594</v>
      </c>
      <c r="N34" s="2">
        <v>50101743.787</v>
      </c>
      <c r="O34" s="2">
        <v>6319229</v>
      </c>
      <c r="P34" s="2">
        <v>919999.27599999995</v>
      </c>
      <c r="Q34" s="2">
        <v>3247183.7946000001</v>
      </c>
      <c r="R34" s="2">
        <v>3669789.798</v>
      </c>
    </row>
    <row r="35" spans="1:18" x14ac:dyDescent="0.25">
      <c r="A35" s="1">
        <v>46112</v>
      </c>
      <c r="B35" s="2">
        <v>41944592.141599998</v>
      </c>
      <c r="C35" s="2">
        <v>2865979.1439999999</v>
      </c>
      <c r="D35" s="2">
        <v>1368771.777</v>
      </c>
      <c r="E35" s="2">
        <v>8154791.2209999999</v>
      </c>
      <c r="F35" s="2">
        <v>1511087</v>
      </c>
      <c r="G35" s="2">
        <v>6155804</v>
      </c>
      <c r="H35" s="2">
        <v>24200431.890999999</v>
      </c>
      <c r="I35" s="2">
        <v>25712006.925999999</v>
      </c>
      <c r="J35" s="2">
        <v>5849562.9409999996</v>
      </c>
      <c r="K35" s="2">
        <v>1416987.517</v>
      </c>
      <c r="L35" s="2">
        <v>18275230</v>
      </c>
      <c r="M35" s="2">
        <v>7017</v>
      </c>
      <c r="N35" s="2">
        <v>45155161.895000003</v>
      </c>
      <c r="O35" s="2">
        <v>6507496</v>
      </c>
      <c r="P35" s="2">
        <v>858474.19799999997</v>
      </c>
      <c r="Q35" s="2">
        <v>3566260.8072000002</v>
      </c>
      <c r="R35" s="2">
        <v>3978852.628</v>
      </c>
    </row>
    <row r="36" spans="1:18" x14ac:dyDescent="0.25">
      <c r="A36" s="1">
        <v>46203</v>
      </c>
      <c r="B36" s="2">
        <v>48070343.867600001</v>
      </c>
      <c r="C36" s="2">
        <v>2993980.003</v>
      </c>
      <c r="D36" s="2">
        <v>1493086.764</v>
      </c>
      <c r="E36" s="2">
        <v>8723020.625</v>
      </c>
      <c r="F36" s="2">
        <v>1732793</v>
      </c>
      <c r="G36" s="2">
        <v>7081961</v>
      </c>
      <c r="H36" s="2">
        <v>25756262.377999999</v>
      </c>
      <c r="I36" s="2">
        <v>28139492.592</v>
      </c>
      <c r="J36" s="2">
        <v>6667147.415</v>
      </c>
      <c r="K36" s="2">
        <v>1471333.4809999999</v>
      </c>
      <c r="L36" s="2">
        <v>19258520</v>
      </c>
      <c r="M36" s="2">
        <v>7749</v>
      </c>
      <c r="N36" s="2">
        <v>50363210.086000003</v>
      </c>
      <c r="O36" s="2">
        <v>7244639</v>
      </c>
      <c r="P36" s="2">
        <v>923165.82799999998</v>
      </c>
      <c r="Q36" s="2">
        <v>3898429.6190999998</v>
      </c>
      <c r="R36" s="2">
        <v>4929668.4840000002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DF8A-3AA0-48CB-AE1B-F19C73937030}">
  <dimension ref="A1:R36"/>
  <sheetViews>
    <sheetView topLeftCell="A10" workbookViewId="0">
      <selection activeCell="A10" sqref="A1:XFD104857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_xll.BDH(B$1,"LT_DEBT_TO_TOT_ASSET","2017-12-29","","Dir=V","Per=Q","Days=A","Dts=S","cols=2;rows=35")</f>
        <v>43100</v>
      </c>
      <c r="B2" s="2">
        <v>30.002300000000002</v>
      </c>
      <c r="C2" s="2">
        <f>_xll.BDH(C$1,"LT_DEBT_TO_TOT_ASSET","2017-12-29","","Dir=V","Per=Q","Days=A","Dts=H","cols=1;rows=35")</f>
        <v>4.6510999999999996</v>
      </c>
      <c r="D2" s="2">
        <f>_xll.BDH(D$1,"LT_DEBT_TO_TOT_ASSET","2017-12-29","","Dir=V","Per=Q","Days=A","Dts=H","cols=1;rows=35")</f>
        <v>14.8924</v>
      </c>
      <c r="E2" s="2">
        <f>_xll.BDH(E$1,"LT_DEBT_TO_TOT_ASSET","2017-12-29","","Dir=V","Per=Q","Days=A","Dts=H","cols=1;rows=35")</f>
        <v>13.545</v>
      </c>
      <c r="F2" s="2">
        <f>_xll.BDH(F$1,"LT_DEBT_TO_TOT_ASSET","2017-12-29","","Dir=V","Per=Q","Days=A","Dts=H","cols=1;rows=35")</f>
        <v>0</v>
      </c>
      <c r="G2" s="2">
        <f>_xll.BDH(G$1,"LT_DEBT_TO_TOT_ASSET","2017-12-29","","Dir=V","Per=Q","Days=A","Dts=H","cols=1;rows=35")</f>
        <v>8.7317999999999998</v>
      </c>
      <c r="H2" s="2">
        <f>_xll.BDH(H$1,"LT_DEBT_TO_TOT_ASSET","2017-12-29","","Dir=V","Per=Q","Days=A","Dts=H","cols=1;rows=35")</f>
        <v>10.609400000000001</v>
      </c>
      <c r="I2" s="2">
        <f>_xll.BDH(I$1,"LT_DEBT_TO_TOT_ASSET","2017-12-29","","Dir=V","Per=Q","Days=A","Dts=H","cols=1;rows=35")</f>
        <v>7.8640999999999996</v>
      </c>
      <c r="J2" s="2">
        <f>_xll.BDH(J$1,"LT_DEBT_TO_TOT_ASSET","2017-12-29","","Dir=V","Per=Q","Days=A","Dts=H","cols=1;rows=35")</f>
        <v>10.433999999999999</v>
      </c>
      <c r="K2" s="2">
        <f>_xll.BDH(K$1,"LT_DEBT_TO_TOT_ASSET","2017-12-29","","Dir=V","Per=Q","Days=A","Dts=H","cols=1;rows=35")</f>
        <v>15.969099999999999</v>
      </c>
      <c r="L2" s="2">
        <f>_xll.BDH(L$1,"LT_DEBT_TO_TOT_ASSET","2017-12-29","","Dir=V","Per=Q","Days=A","Dts=H","cols=1;rows=35")</f>
        <v>15.548</v>
      </c>
      <c r="M2" s="2">
        <f>_xll.BDH(M$1,"LT_DEBT_TO_TOT_ASSET","2017-12-29","","Dir=V","Per=Q","Days=A","Dts=H","cols=1;rows=35")</f>
        <v>25.7044</v>
      </c>
      <c r="N2" s="2">
        <f>_xll.BDH(N$1,"LT_DEBT_TO_TOT_ASSET","2017-12-29","","Dir=V","Per=Q","Days=A","Dts=H","cols=1;rows=35")</f>
        <v>5.6714000000000002</v>
      </c>
      <c r="O2" s="2">
        <f>_xll.BDH(O$1,"LT_DEBT_TO_TOT_ASSET","2017-12-29","","Dir=V","Per=Q","Days=A","Dts=H","cols=1;rows=35")</f>
        <v>47.712699999999998</v>
      </c>
      <c r="P2" s="2">
        <f>_xll.BDH(P$1,"LT_DEBT_TO_TOT_ASSET","2017-12-29","","Dir=V","Per=Q","Days=A","Dts=H","cols=1;rows=35")</f>
        <v>5.915</v>
      </c>
      <c r="Q2" s="2">
        <f>_xll.BDH(Q$1,"LT_DEBT_TO_TOT_ASSET","2017-12-29","","Dir=V","Per=Q","Days=A","Dts=H","cols=1;rows=35")</f>
        <v>1.2728999999999999</v>
      </c>
      <c r="R2" s="2">
        <f>_xll.BDH(R$1,"LT_DEBT_TO_TOT_ASSET","2017-12-29","","Dir=V","Per=Q","Days=A","Dts=H","cols=1;rows=35")</f>
        <v>10.8934</v>
      </c>
    </row>
    <row r="3" spans="1:18" x14ac:dyDescent="0.25">
      <c r="A3" s="1">
        <v>43190</v>
      </c>
      <c r="B3" s="2">
        <v>29.868200000000002</v>
      </c>
      <c r="C3" s="2">
        <v>3.7629999999999999</v>
      </c>
      <c r="D3" s="2">
        <v>22.7592</v>
      </c>
      <c r="E3" s="2">
        <v>6.4063999999999997</v>
      </c>
      <c r="F3" s="2">
        <v>20.996099999999998</v>
      </c>
      <c r="G3" s="2">
        <v>14.7491</v>
      </c>
      <c r="H3" s="2">
        <v>5.8955000000000002</v>
      </c>
      <c r="I3" s="2">
        <v>8.5460999999999991</v>
      </c>
      <c r="J3" s="2">
        <v>20.696999999999999</v>
      </c>
      <c r="K3" s="2">
        <v>16.9726</v>
      </c>
      <c r="L3" s="2">
        <v>8.9189000000000007</v>
      </c>
      <c r="M3" s="2">
        <v>34.115499999999997</v>
      </c>
      <c r="N3" s="2">
        <v>7.0326000000000004</v>
      </c>
      <c r="O3" s="2">
        <v>49.235900000000001</v>
      </c>
      <c r="P3" s="2">
        <v>9.0701999999999998</v>
      </c>
      <c r="Q3" s="2">
        <v>0.84409999999999996</v>
      </c>
      <c r="R3" s="2">
        <v>13.537599999999999</v>
      </c>
    </row>
    <row r="4" spans="1:18" x14ac:dyDescent="0.25">
      <c r="A4" s="1">
        <v>43281</v>
      </c>
      <c r="B4" s="2">
        <v>28.9575</v>
      </c>
      <c r="C4" s="2">
        <v>3.2025999999999999</v>
      </c>
      <c r="D4" s="2">
        <v>29.687999999999999</v>
      </c>
      <c r="E4" s="2">
        <v>4.7215999999999996</v>
      </c>
      <c r="F4" s="2">
        <v>22.554500000000001</v>
      </c>
      <c r="G4" s="2">
        <v>19.8611</v>
      </c>
      <c r="H4" s="2">
        <v>7.9490999999999996</v>
      </c>
      <c r="I4" s="2">
        <v>9.3995999999999995</v>
      </c>
      <c r="J4" s="2">
        <v>57.520800000000001</v>
      </c>
      <c r="K4" s="2">
        <v>17.021599999999999</v>
      </c>
      <c r="L4" s="2">
        <v>12.2545</v>
      </c>
      <c r="M4" s="2">
        <v>45.782699999999998</v>
      </c>
      <c r="N4" s="2">
        <v>7.7092999999999998</v>
      </c>
      <c r="O4" s="2">
        <v>52.2958</v>
      </c>
      <c r="P4" s="2">
        <v>8.5020000000000007</v>
      </c>
      <c r="Q4" s="2">
        <v>5.1999999999999998E-3</v>
      </c>
      <c r="R4" s="2">
        <v>16.8078</v>
      </c>
    </row>
    <row r="5" spans="1:18" x14ac:dyDescent="0.25">
      <c r="A5" s="1">
        <v>43373</v>
      </c>
      <c r="B5" s="2">
        <v>27.603100000000001</v>
      </c>
      <c r="C5" s="2">
        <v>6.5963000000000003</v>
      </c>
      <c r="D5" s="2">
        <v>34.022500000000001</v>
      </c>
      <c r="E5" s="2">
        <v>4.3407</v>
      </c>
      <c r="F5" s="2">
        <v>24.956</v>
      </c>
      <c r="G5" s="2">
        <v>22.750299999999999</v>
      </c>
      <c r="H5" s="2">
        <v>12.6465</v>
      </c>
      <c r="I5" s="2">
        <v>8.8111999999999995</v>
      </c>
      <c r="J5" s="2">
        <v>70.909899999999993</v>
      </c>
      <c r="K5" s="2">
        <v>21.416499999999999</v>
      </c>
      <c r="L5" s="2">
        <v>15.3268</v>
      </c>
      <c r="M5" s="2">
        <v>53.766100000000002</v>
      </c>
      <c r="N5" s="2">
        <v>7.2836999999999996</v>
      </c>
      <c r="O5" s="2">
        <v>52.811900000000001</v>
      </c>
      <c r="P5" s="2">
        <v>8.7634000000000007</v>
      </c>
      <c r="Q5" s="2">
        <v>6.7468000000000004</v>
      </c>
      <c r="R5" s="2">
        <v>15.2043</v>
      </c>
    </row>
    <row r="6" spans="1:18" x14ac:dyDescent="0.25">
      <c r="A6" s="1">
        <v>43465</v>
      </c>
      <c r="B6" s="2">
        <v>27.187899999999999</v>
      </c>
      <c r="C6" s="2">
        <v>0.1615</v>
      </c>
      <c r="D6" s="2">
        <v>18.301500000000001</v>
      </c>
      <c r="E6" s="2">
        <v>9.6202000000000005</v>
      </c>
      <c r="F6" s="2">
        <v>13.3476</v>
      </c>
      <c r="G6" s="2">
        <v>9.3420000000000005</v>
      </c>
      <c r="H6" s="2">
        <v>11.660600000000001</v>
      </c>
      <c r="I6" s="2">
        <v>10.2056</v>
      </c>
      <c r="J6" s="2">
        <v>32.536700000000003</v>
      </c>
      <c r="K6" s="2">
        <v>8.9403000000000006</v>
      </c>
      <c r="L6" s="2">
        <v>15.9436</v>
      </c>
      <c r="M6" s="2">
        <v>32.356299999999997</v>
      </c>
      <c r="N6" s="2">
        <v>7.0326000000000004</v>
      </c>
      <c r="O6" s="2">
        <v>52.5886</v>
      </c>
      <c r="P6" s="2">
        <v>4.1692999999999998</v>
      </c>
      <c r="Q6" s="2">
        <v>4.0281000000000002</v>
      </c>
      <c r="R6" s="2">
        <v>10.8126</v>
      </c>
    </row>
    <row r="7" spans="1:18" x14ac:dyDescent="0.25">
      <c r="A7" s="1">
        <v>43555</v>
      </c>
      <c r="B7" s="2">
        <v>27.765000000000001</v>
      </c>
      <c r="C7" s="2">
        <v>1.8351</v>
      </c>
      <c r="D7" s="2">
        <v>18.794599999999999</v>
      </c>
      <c r="E7" s="2">
        <v>4.9443000000000001</v>
      </c>
      <c r="F7" s="2">
        <v>11.3499</v>
      </c>
      <c r="G7" s="2">
        <v>9.4026999999999994</v>
      </c>
      <c r="H7" s="2">
        <v>11.243499999999999</v>
      </c>
      <c r="I7" s="2">
        <v>10.196099999999999</v>
      </c>
      <c r="J7" s="2">
        <v>31.968800000000002</v>
      </c>
      <c r="K7" s="2">
        <v>9.0801999999999996</v>
      </c>
      <c r="L7" s="2">
        <v>17.754899999999999</v>
      </c>
      <c r="M7" s="2">
        <v>33.301699999999997</v>
      </c>
      <c r="N7" s="2">
        <v>7.48</v>
      </c>
      <c r="O7" s="2">
        <v>53.305999999999997</v>
      </c>
      <c r="P7" s="2">
        <v>2.7667000000000002</v>
      </c>
      <c r="Q7" s="2">
        <v>4.7784000000000004</v>
      </c>
      <c r="R7" s="2">
        <v>10.5707</v>
      </c>
    </row>
    <row r="8" spans="1:18" x14ac:dyDescent="0.25">
      <c r="A8" s="1">
        <v>43646</v>
      </c>
      <c r="B8" s="2">
        <v>28.220199999999998</v>
      </c>
      <c r="C8" s="2">
        <v>3.5966</v>
      </c>
      <c r="D8" s="2">
        <v>18.170100000000001</v>
      </c>
      <c r="E8" s="2">
        <v>11.2316</v>
      </c>
      <c r="F8" s="2">
        <v>7.0347999999999997</v>
      </c>
      <c r="G8" s="2">
        <v>7.6924999999999999</v>
      </c>
      <c r="H8" s="2">
        <v>10.078099999999999</v>
      </c>
      <c r="I8" s="2">
        <v>7.8109000000000002</v>
      </c>
      <c r="J8" s="2">
        <v>31.9236</v>
      </c>
      <c r="K8" s="2">
        <v>4.5240999999999998</v>
      </c>
      <c r="L8" s="2">
        <v>16.546600000000002</v>
      </c>
      <c r="M8" s="2">
        <v>27.986000000000001</v>
      </c>
      <c r="N8" s="2">
        <v>7.1520000000000001</v>
      </c>
      <c r="O8" s="2">
        <v>54.737699999999997</v>
      </c>
      <c r="P8" s="2">
        <v>3.6244999999999998</v>
      </c>
      <c r="Q8" s="2">
        <v>15.320600000000001</v>
      </c>
      <c r="R8" s="2">
        <v>24.287800000000001</v>
      </c>
    </row>
    <row r="9" spans="1:18" x14ac:dyDescent="0.25">
      <c r="A9" s="1">
        <v>43738</v>
      </c>
      <c r="B9" s="2">
        <v>29.2636</v>
      </c>
      <c r="C9" s="2">
        <v>0.28260000000000002</v>
      </c>
      <c r="D9" s="2">
        <v>20.376799999999999</v>
      </c>
      <c r="E9" s="2">
        <v>10.960100000000001</v>
      </c>
      <c r="F9" s="2">
        <v>5.2662000000000004</v>
      </c>
      <c r="G9" s="2">
        <v>9.1895000000000007</v>
      </c>
      <c r="H9" s="2">
        <v>12.365600000000001</v>
      </c>
      <c r="I9" s="2">
        <v>11.7896</v>
      </c>
      <c r="J9" s="2">
        <v>36.490200000000002</v>
      </c>
      <c r="K9" s="2">
        <v>5.2039999999999997</v>
      </c>
      <c r="L9" s="2">
        <v>22.262599999999999</v>
      </c>
      <c r="M9" s="2">
        <v>31.099399999999999</v>
      </c>
      <c r="N9" s="2">
        <v>6.2830000000000004</v>
      </c>
      <c r="O9" s="2">
        <v>54.275700000000001</v>
      </c>
      <c r="P9" s="2">
        <v>3.9575999999999998</v>
      </c>
      <c r="Q9" s="2">
        <v>20.3596</v>
      </c>
      <c r="R9" s="2">
        <v>26.6736</v>
      </c>
    </row>
    <row r="10" spans="1:18" x14ac:dyDescent="0.25">
      <c r="A10" s="1">
        <v>43830</v>
      </c>
      <c r="B10" s="2">
        <v>29.2408</v>
      </c>
      <c r="C10" s="2">
        <v>5.74E-2</v>
      </c>
      <c r="D10" s="2">
        <v>17.836400000000001</v>
      </c>
      <c r="E10" s="2">
        <v>10.1744</v>
      </c>
      <c r="F10" s="2">
        <v>2.5590000000000002</v>
      </c>
      <c r="G10" s="2">
        <v>6.8613</v>
      </c>
      <c r="H10" s="2">
        <v>12.228899999999999</v>
      </c>
      <c r="I10" s="2">
        <v>9.3651</v>
      </c>
      <c r="J10" s="2">
        <v>33.326599999999999</v>
      </c>
      <c r="K10" s="2">
        <v>1.6400000000000001E-2</v>
      </c>
      <c r="L10" s="2">
        <v>20.823</v>
      </c>
      <c r="M10" s="2">
        <v>31.028300000000002</v>
      </c>
      <c r="N10" s="2">
        <v>6.7366999999999999</v>
      </c>
      <c r="O10" s="2">
        <v>50.991</v>
      </c>
      <c r="P10" s="2">
        <v>3.2789000000000001</v>
      </c>
      <c r="Q10" s="2">
        <v>18.947600000000001</v>
      </c>
      <c r="R10" s="2">
        <v>25.5809</v>
      </c>
    </row>
    <row r="11" spans="1:18" x14ac:dyDescent="0.25">
      <c r="A11" s="1">
        <v>43921</v>
      </c>
      <c r="B11" s="2">
        <v>25.757100000000001</v>
      </c>
      <c r="C11" s="2">
        <v>4.0300000000000002E-2</v>
      </c>
      <c r="D11" s="2">
        <v>17.5151</v>
      </c>
      <c r="E11" s="2">
        <v>7.1074999999999999</v>
      </c>
      <c r="F11" s="2">
        <v>5.0800999999999998</v>
      </c>
      <c r="G11" s="2">
        <v>6.7503000000000002</v>
      </c>
      <c r="H11" s="2">
        <v>11.1327</v>
      </c>
      <c r="I11" s="2">
        <v>10.524800000000001</v>
      </c>
      <c r="J11" s="2">
        <v>32.3232</v>
      </c>
      <c r="K11" s="2">
        <v>1.5100000000000001E-2</v>
      </c>
      <c r="L11" s="2">
        <v>20.742100000000001</v>
      </c>
      <c r="M11" s="2">
        <v>30.771000000000001</v>
      </c>
      <c r="N11" s="2">
        <v>5.5311000000000003</v>
      </c>
      <c r="O11" s="2">
        <v>49.996899999999997</v>
      </c>
      <c r="P11" s="2">
        <v>3.5651000000000002</v>
      </c>
      <c r="Q11" s="2">
        <v>19.268999999999998</v>
      </c>
      <c r="R11" s="2">
        <v>24.4617</v>
      </c>
    </row>
    <row r="12" spans="1:18" x14ac:dyDescent="0.25">
      <c r="A12" s="1">
        <v>44012</v>
      </c>
      <c r="B12" s="2">
        <v>27.254799999999999</v>
      </c>
      <c r="C12" s="2">
        <v>0.1111</v>
      </c>
      <c r="D12" s="2">
        <v>17.692900000000002</v>
      </c>
      <c r="E12" s="2">
        <v>7.2481999999999998</v>
      </c>
      <c r="F12" s="2">
        <v>7.2480000000000002</v>
      </c>
      <c r="G12" s="2">
        <v>6.8720999999999997</v>
      </c>
      <c r="H12" s="2">
        <v>10.132199999999999</v>
      </c>
      <c r="I12" s="2">
        <v>6.9294000000000002</v>
      </c>
      <c r="J12" s="2">
        <v>32.819099999999999</v>
      </c>
      <c r="K12" s="2">
        <v>0.67390000000000005</v>
      </c>
      <c r="L12" s="2">
        <v>16.5227</v>
      </c>
      <c r="M12" s="2">
        <v>28.375900000000001</v>
      </c>
      <c r="N12" s="2">
        <v>3.8159999999999998</v>
      </c>
      <c r="O12" s="2">
        <v>48.856099999999998</v>
      </c>
      <c r="P12" s="2">
        <v>3.7974999999999999</v>
      </c>
      <c r="Q12" s="2">
        <v>21.4283</v>
      </c>
      <c r="R12" s="2">
        <v>22.885300000000001</v>
      </c>
    </row>
    <row r="13" spans="1:18" x14ac:dyDescent="0.25">
      <c r="A13" s="1">
        <v>44104</v>
      </c>
      <c r="B13" s="2">
        <v>29.904900000000001</v>
      </c>
      <c r="C13" s="2">
        <v>2.5899999999999999E-2</v>
      </c>
      <c r="D13" s="2">
        <v>0</v>
      </c>
      <c r="E13" s="2">
        <v>5.3299000000000003</v>
      </c>
      <c r="F13" s="2">
        <v>7.8170000000000002</v>
      </c>
      <c r="G13" s="2">
        <v>4.8076999999999996</v>
      </c>
      <c r="H13" s="2">
        <v>9.0145999999999997</v>
      </c>
      <c r="I13" s="2">
        <v>7.8136000000000001</v>
      </c>
      <c r="J13" s="2">
        <v>32.458399999999997</v>
      </c>
      <c r="K13" s="2">
        <v>2.1334</v>
      </c>
      <c r="L13" s="2">
        <v>20.341899999999999</v>
      </c>
      <c r="M13" s="2">
        <v>26.385899999999999</v>
      </c>
      <c r="N13" s="2">
        <v>3.8904000000000001</v>
      </c>
      <c r="O13" s="2">
        <v>20.668500000000002</v>
      </c>
      <c r="P13" s="2">
        <v>2.6987000000000001</v>
      </c>
      <c r="Q13" s="2">
        <v>27.357199999999999</v>
      </c>
      <c r="R13" s="2">
        <v>20.701499999999999</v>
      </c>
    </row>
    <row r="14" spans="1:18" x14ac:dyDescent="0.25">
      <c r="A14" s="1">
        <v>44196</v>
      </c>
      <c r="B14" s="2">
        <v>28.688600000000001</v>
      </c>
      <c r="C14" s="2">
        <v>7.6499999999999999E-2</v>
      </c>
      <c r="D14" s="2">
        <v>0</v>
      </c>
      <c r="E14" s="2">
        <v>3.4691999999999998</v>
      </c>
      <c r="F14" s="2">
        <v>10.913500000000001</v>
      </c>
      <c r="G14" s="2">
        <v>5.5518999999999998</v>
      </c>
      <c r="H14" s="2">
        <v>11.606999999999999</v>
      </c>
      <c r="I14" s="2">
        <v>7.2709000000000001</v>
      </c>
      <c r="J14" s="2">
        <v>33.386099999999999</v>
      </c>
      <c r="K14" s="2">
        <v>7.2337999999999996</v>
      </c>
      <c r="L14" s="2">
        <v>22.014900000000001</v>
      </c>
      <c r="M14" s="2">
        <v>28.255700000000001</v>
      </c>
      <c r="N14" s="2">
        <v>3.6606000000000001</v>
      </c>
      <c r="O14" s="2">
        <v>22.4636</v>
      </c>
      <c r="P14" s="2">
        <v>0.93530000000000002</v>
      </c>
      <c r="Q14" s="2">
        <v>25.833100000000002</v>
      </c>
      <c r="R14" s="2">
        <v>19.474</v>
      </c>
    </row>
    <row r="15" spans="1:18" x14ac:dyDescent="0.25">
      <c r="A15" s="1">
        <v>44286</v>
      </c>
      <c r="B15" s="2">
        <v>30.221699999999998</v>
      </c>
      <c r="C15" s="2">
        <v>0.12920000000000001</v>
      </c>
      <c r="D15" s="2">
        <v>0</v>
      </c>
      <c r="E15" s="2">
        <v>5.1192000000000002</v>
      </c>
      <c r="F15" s="2">
        <v>15.798400000000001</v>
      </c>
      <c r="G15" s="2">
        <v>5.3311000000000002</v>
      </c>
      <c r="H15" s="2">
        <v>12.304600000000001</v>
      </c>
      <c r="I15" s="2">
        <v>7.5084</v>
      </c>
      <c r="J15" s="2">
        <v>31.223500000000001</v>
      </c>
      <c r="K15" s="2">
        <v>6.1841999999999997</v>
      </c>
      <c r="L15" s="2">
        <v>21.427199999999999</v>
      </c>
      <c r="M15" s="2">
        <v>27.909600000000001</v>
      </c>
      <c r="N15" s="2">
        <v>3.8605</v>
      </c>
      <c r="O15" s="2">
        <v>21.551200000000001</v>
      </c>
      <c r="P15" s="2">
        <v>1.0137</v>
      </c>
      <c r="Q15" s="2">
        <v>13.269399999999999</v>
      </c>
      <c r="R15" s="2">
        <v>18.273900000000001</v>
      </c>
    </row>
    <row r="16" spans="1:18" x14ac:dyDescent="0.25">
      <c r="A16" s="1">
        <v>44377</v>
      </c>
      <c r="B16" s="2">
        <v>28.457899999999999</v>
      </c>
      <c r="C16" s="2">
        <v>3.2300000000000002E-2</v>
      </c>
      <c r="D16" s="2">
        <v>0</v>
      </c>
      <c r="E16" s="2">
        <v>3.5024999999999999</v>
      </c>
      <c r="F16" s="2">
        <v>16.721</v>
      </c>
      <c r="G16" s="2">
        <v>4.8623000000000003</v>
      </c>
      <c r="H16" s="2">
        <v>10.186199999999999</v>
      </c>
      <c r="I16" s="2">
        <v>6.6496000000000004</v>
      </c>
      <c r="J16" s="2">
        <v>29.132000000000001</v>
      </c>
      <c r="K16" s="2">
        <v>5.9832999999999998</v>
      </c>
      <c r="L16" s="2">
        <v>21.095700000000001</v>
      </c>
      <c r="M16" s="2">
        <v>37.7714</v>
      </c>
      <c r="N16" s="2">
        <v>3.6278999999999999</v>
      </c>
      <c r="O16" s="2">
        <v>22.938099999999999</v>
      </c>
      <c r="P16" s="2">
        <v>0.996</v>
      </c>
      <c r="Q16" s="2">
        <v>20.674499999999998</v>
      </c>
      <c r="R16" s="2">
        <v>19.914400000000001</v>
      </c>
    </row>
    <row r="17" spans="1:18" x14ac:dyDescent="0.25">
      <c r="A17" s="1">
        <v>44469</v>
      </c>
      <c r="B17" s="2">
        <v>28.886199999999999</v>
      </c>
      <c r="C17" s="2">
        <v>4.6199999999999998E-2</v>
      </c>
      <c r="D17" s="2">
        <v>1.1934</v>
      </c>
      <c r="E17" s="2">
        <v>3.6553</v>
      </c>
      <c r="F17" s="2">
        <v>14.2921</v>
      </c>
      <c r="G17" s="2">
        <v>4.4645999999999999</v>
      </c>
      <c r="H17" s="2">
        <v>10.0967</v>
      </c>
      <c r="I17" s="2">
        <v>7.2011000000000003</v>
      </c>
      <c r="J17" s="2">
        <v>26.971800000000002</v>
      </c>
      <c r="K17" s="2">
        <v>5.8190999999999997</v>
      </c>
      <c r="L17" s="2">
        <v>19.843599999999999</v>
      </c>
      <c r="M17" s="2">
        <v>36.472099999999998</v>
      </c>
      <c r="N17" s="2">
        <v>3.6482000000000001</v>
      </c>
      <c r="O17" s="2">
        <v>24.9102</v>
      </c>
      <c r="P17" s="2">
        <v>0.92049999999999998</v>
      </c>
      <c r="Q17" s="2">
        <v>18.8096</v>
      </c>
      <c r="R17" s="2">
        <v>18.527000000000001</v>
      </c>
    </row>
    <row r="18" spans="1:18" x14ac:dyDescent="0.25">
      <c r="A18" s="1">
        <v>44561</v>
      </c>
      <c r="B18" s="2">
        <v>29.240600000000001</v>
      </c>
      <c r="C18" s="2">
        <v>1.7399999999999999E-2</v>
      </c>
      <c r="D18" s="2">
        <v>0.93840000000000001</v>
      </c>
      <c r="E18" s="2">
        <v>6.3087</v>
      </c>
      <c r="F18" s="2">
        <v>14.2921</v>
      </c>
      <c r="G18" s="2">
        <v>3.32E-2</v>
      </c>
      <c r="H18" s="2">
        <v>11.3056</v>
      </c>
      <c r="I18" s="2">
        <v>1.4517</v>
      </c>
      <c r="J18" s="2">
        <v>24.689599999999999</v>
      </c>
      <c r="K18" s="2">
        <v>2.3E-3</v>
      </c>
      <c r="L18" s="2">
        <v>19.911000000000001</v>
      </c>
      <c r="M18" s="2">
        <v>35.442599999999999</v>
      </c>
      <c r="N18" s="2">
        <v>3.2303000000000002</v>
      </c>
      <c r="O18" s="2">
        <v>21.987400000000001</v>
      </c>
      <c r="P18" s="2">
        <v>0.17760000000000001</v>
      </c>
      <c r="Q18" s="2">
        <v>17.104500000000002</v>
      </c>
      <c r="R18" s="2">
        <v>18.004799999999999</v>
      </c>
    </row>
    <row r="19" spans="1:18" x14ac:dyDescent="0.25">
      <c r="A19" s="1">
        <v>44651</v>
      </c>
      <c r="B19" s="2">
        <v>29.514600000000002</v>
      </c>
      <c r="C19" s="2">
        <v>8.7599999999999997E-2</v>
      </c>
      <c r="D19" s="2">
        <v>0.70299999999999996</v>
      </c>
      <c r="E19" s="2">
        <v>4.0743</v>
      </c>
      <c r="F19" s="2">
        <v>11.470700000000001</v>
      </c>
      <c r="G19" s="2">
        <v>3.39E-2</v>
      </c>
      <c r="H19" s="2">
        <v>9.7201000000000004</v>
      </c>
      <c r="I19" s="2">
        <v>7.0349000000000004</v>
      </c>
      <c r="J19" s="2">
        <v>23.178599999999999</v>
      </c>
      <c r="K19" s="2">
        <v>2.12E-2</v>
      </c>
      <c r="L19" s="2">
        <v>18.699100000000001</v>
      </c>
      <c r="M19" s="2">
        <v>34.266100000000002</v>
      </c>
      <c r="N19" s="2">
        <v>3.4506000000000001</v>
      </c>
      <c r="O19" s="2">
        <v>19.604800000000001</v>
      </c>
      <c r="P19" s="2">
        <v>0.36159999999999998</v>
      </c>
      <c r="Q19" s="2">
        <v>13.269399999999999</v>
      </c>
      <c r="R19" s="2">
        <v>16.601199999999999</v>
      </c>
    </row>
    <row r="20" spans="1:18" x14ac:dyDescent="0.25">
      <c r="A20" s="1">
        <v>44742</v>
      </c>
      <c r="B20" s="2">
        <v>26.9712</v>
      </c>
      <c r="C20" s="2">
        <v>2.4500000000000001E-2</v>
      </c>
      <c r="D20" s="2">
        <v>0.47570000000000001</v>
      </c>
      <c r="E20" s="2">
        <v>4.0088999999999997</v>
      </c>
      <c r="F20" s="2">
        <v>8.5906000000000002</v>
      </c>
      <c r="G20" s="2">
        <v>2.0066000000000002</v>
      </c>
      <c r="H20" s="2">
        <v>9.2248999999999999</v>
      </c>
      <c r="I20" s="2">
        <v>7.1115000000000004</v>
      </c>
      <c r="J20" s="2">
        <v>22.863399999999999</v>
      </c>
      <c r="K20" s="2">
        <v>1.7100000000000001E-2</v>
      </c>
      <c r="L20" s="2">
        <v>18.557400000000001</v>
      </c>
      <c r="M20" s="2">
        <v>33.252600000000001</v>
      </c>
      <c r="N20" s="2">
        <v>3.2033999999999998</v>
      </c>
      <c r="O20" s="2">
        <v>10.056699999999999</v>
      </c>
      <c r="P20" s="2">
        <v>0.41089999999999999</v>
      </c>
      <c r="Q20" s="2">
        <v>10.870200000000001</v>
      </c>
      <c r="R20" s="2">
        <v>13.997400000000001</v>
      </c>
    </row>
    <row r="21" spans="1:18" x14ac:dyDescent="0.25">
      <c r="A21" s="1">
        <v>44834</v>
      </c>
      <c r="B21" s="2">
        <v>25.228200000000001</v>
      </c>
      <c r="C21" s="2">
        <v>0.1062</v>
      </c>
      <c r="D21" s="2">
        <v>0.29959999999999998</v>
      </c>
      <c r="E21" s="2">
        <v>3.3483000000000001</v>
      </c>
      <c r="F21" s="2">
        <v>5.7939999999999996</v>
      </c>
      <c r="G21" s="2">
        <v>2.9380000000000002</v>
      </c>
      <c r="H21" s="2">
        <v>8.5380000000000003</v>
      </c>
      <c r="I21" s="2">
        <v>1.1625000000000001</v>
      </c>
      <c r="J21" s="2">
        <v>21.764700000000001</v>
      </c>
      <c r="K21" s="2">
        <v>6.4081000000000001</v>
      </c>
      <c r="L21" s="2">
        <v>21.324999999999999</v>
      </c>
      <c r="M21" s="2">
        <v>28.9209</v>
      </c>
      <c r="N21" s="2">
        <v>3.5577999999999999</v>
      </c>
      <c r="O21" s="2">
        <v>15.051399999999999</v>
      </c>
      <c r="P21" s="2">
        <v>0.38479999999999998</v>
      </c>
      <c r="Q21" s="2">
        <v>9.9093</v>
      </c>
      <c r="R21" s="2">
        <v>11.860900000000001</v>
      </c>
    </row>
    <row r="22" spans="1:18" x14ac:dyDescent="0.25">
      <c r="A22" s="1">
        <v>44926</v>
      </c>
      <c r="B22" s="2">
        <v>24.005700000000001</v>
      </c>
      <c r="C22" s="2">
        <v>0.77859999999999996</v>
      </c>
      <c r="D22" s="2">
        <v>0.17949999999999999</v>
      </c>
      <c r="E22" s="2">
        <v>2.5960000000000001</v>
      </c>
      <c r="F22" s="2">
        <v>5.9607999999999999</v>
      </c>
      <c r="G22" s="2">
        <v>3.0358000000000001</v>
      </c>
      <c r="H22" s="2">
        <v>10.159800000000001</v>
      </c>
      <c r="I22" s="2">
        <v>1.2192000000000001</v>
      </c>
      <c r="J22" s="2">
        <v>22.008199999999999</v>
      </c>
      <c r="K22" s="2">
        <v>6.3563999999999998</v>
      </c>
      <c r="L22" s="2">
        <v>20.504799999999999</v>
      </c>
      <c r="M22" s="2">
        <v>28.4771</v>
      </c>
      <c r="N22" s="2">
        <v>3.3294999999999999</v>
      </c>
      <c r="O22" s="2">
        <v>16.318200000000001</v>
      </c>
      <c r="P22" s="2">
        <v>0.2974</v>
      </c>
      <c r="Q22" s="2">
        <v>9.5111000000000008</v>
      </c>
      <c r="R22" s="2">
        <v>11.844900000000001</v>
      </c>
    </row>
    <row r="23" spans="1:18" x14ac:dyDescent="0.25">
      <c r="A23" s="1">
        <v>45016</v>
      </c>
      <c r="B23" s="2">
        <v>24.7182</v>
      </c>
      <c r="C23" s="2">
        <v>1.3333999999999999</v>
      </c>
      <c r="D23" s="2">
        <v>8.1799999999999998E-2</v>
      </c>
      <c r="E23" s="2">
        <v>3.7250999999999999</v>
      </c>
      <c r="F23" s="2">
        <v>7.2312000000000003</v>
      </c>
      <c r="G23" s="2">
        <v>3.9523999999999999</v>
      </c>
      <c r="H23" s="2">
        <v>10.1721</v>
      </c>
      <c r="I23" s="2">
        <v>0.78210000000000002</v>
      </c>
      <c r="J23" s="2">
        <v>20.253599999999999</v>
      </c>
      <c r="K23" s="2">
        <v>5.7908999999999997</v>
      </c>
      <c r="L23" s="2">
        <v>19.603000000000002</v>
      </c>
      <c r="M23" s="2">
        <v>27.106999999999999</v>
      </c>
      <c r="N23" s="2">
        <v>3.2561</v>
      </c>
      <c r="O23" s="2">
        <v>16.156500000000001</v>
      </c>
      <c r="P23" s="2">
        <v>0.28570000000000001</v>
      </c>
      <c r="Q23" s="2">
        <v>8.4170999999999996</v>
      </c>
      <c r="R23" s="2">
        <v>9.9174000000000007</v>
      </c>
    </row>
    <row r="24" spans="1:18" x14ac:dyDescent="0.25">
      <c r="A24" s="1">
        <v>45107</v>
      </c>
      <c r="B24" s="2">
        <v>24.231300000000001</v>
      </c>
      <c r="C24" s="2">
        <v>0.51870000000000005</v>
      </c>
      <c r="D24" s="2">
        <v>1.6400000000000001E-2</v>
      </c>
      <c r="E24" s="2">
        <v>2.5722</v>
      </c>
      <c r="F24" s="2">
        <v>6.0411999999999999</v>
      </c>
      <c r="G24" s="2">
        <v>3.8873000000000002</v>
      </c>
      <c r="H24" s="2">
        <v>10.9047</v>
      </c>
      <c r="I24" s="2">
        <v>0.88439999999999996</v>
      </c>
      <c r="J24" s="2">
        <v>20.247800000000002</v>
      </c>
      <c r="K24" s="2">
        <v>5.7140000000000004</v>
      </c>
      <c r="L24" s="2">
        <v>19.559999999999999</v>
      </c>
      <c r="M24" s="2">
        <v>25.1815</v>
      </c>
      <c r="N24" s="2">
        <v>2.8271000000000002</v>
      </c>
      <c r="O24" s="2">
        <v>16.569400000000002</v>
      </c>
      <c r="P24" s="2">
        <v>0.3019</v>
      </c>
      <c r="Q24" s="2">
        <v>15.1677</v>
      </c>
      <c r="R24" s="2">
        <v>9.8638999999999992</v>
      </c>
    </row>
    <row r="25" spans="1:18" x14ac:dyDescent="0.25">
      <c r="A25" s="1">
        <v>45199</v>
      </c>
      <c r="B25" s="2">
        <v>25.523800000000001</v>
      </c>
      <c r="C25" s="2">
        <v>6.7766000000000002</v>
      </c>
      <c r="D25" s="2">
        <v>0</v>
      </c>
      <c r="E25" s="2">
        <v>3.7166000000000001</v>
      </c>
      <c r="F25" s="2">
        <v>3.4318</v>
      </c>
      <c r="G25" s="2">
        <v>4.0225999999999997</v>
      </c>
      <c r="H25" s="2">
        <v>12.848599999999999</v>
      </c>
      <c r="I25" s="2">
        <v>0.82450000000000001</v>
      </c>
      <c r="J25" s="2">
        <v>19.860800000000001</v>
      </c>
      <c r="K25" s="2">
        <v>5.7835999999999999</v>
      </c>
      <c r="L25" s="2">
        <v>19.8672</v>
      </c>
      <c r="M25" s="2">
        <v>24.8779</v>
      </c>
      <c r="N25" s="2">
        <v>2.6215000000000002</v>
      </c>
      <c r="O25" s="2">
        <v>14.361700000000001</v>
      </c>
      <c r="P25" s="2">
        <v>0.78520000000000001</v>
      </c>
      <c r="Q25" s="2">
        <v>15.531000000000001</v>
      </c>
      <c r="R25" s="2">
        <v>11.1442</v>
      </c>
    </row>
    <row r="26" spans="1:18" x14ac:dyDescent="0.25">
      <c r="A26" s="1">
        <v>45291</v>
      </c>
      <c r="B26" s="2">
        <v>27.985399999999998</v>
      </c>
      <c r="C26" s="2">
        <v>0.69850000000000001</v>
      </c>
      <c r="D26" s="2">
        <v>0</v>
      </c>
      <c r="E26" s="2">
        <v>3.5322</v>
      </c>
      <c r="F26" s="2">
        <v>1.7659</v>
      </c>
      <c r="G26" s="2">
        <v>2.9887999999999999</v>
      </c>
      <c r="H26" s="2">
        <v>11.629300000000001</v>
      </c>
      <c r="I26" s="2">
        <v>1.0334000000000001</v>
      </c>
      <c r="J26" s="2">
        <v>26.9422</v>
      </c>
      <c r="K26" s="2">
        <v>0.69769999999999999</v>
      </c>
      <c r="L26" s="2">
        <v>29.6571</v>
      </c>
      <c r="M26" s="2">
        <v>26.22</v>
      </c>
      <c r="N26" s="2">
        <v>2.9005999999999998</v>
      </c>
      <c r="O26" s="2">
        <v>20.019400000000001</v>
      </c>
      <c r="P26" s="2">
        <v>1.1928000000000001</v>
      </c>
      <c r="Q26" s="2">
        <v>27.192900000000002</v>
      </c>
      <c r="R26" s="2">
        <v>20.407399999999999</v>
      </c>
    </row>
    <row r="27" spans="1:18" x14ac:dyDescent="0.25">
      <c r="A27" s="1">
        <v>45382</v>
      </c>
      <c r="B27" s="2">
        <v>28.338799999999999</v>
      </c>
      <c r="C27" s="2">
        <v>3.1703999999999999</v>
      </c>
      <c r="D27" s="2">
        <v>0</v>
      </c>
      <c r="E27" s="2">
        <v>3.0840000000000001</v>
      </c>
      <c r="F27" s="2">
        <v>0</v>
      </c>
      <c r="G27" s="2">
        <v>5.1971999999999996</v>
      </c>
      <c r="H27" s="2">
        <v>9.1491000000000007</v>
      </c>
      <c r="I27" s="2">
        <v>0.41560000000000002</v>
      </c>
      <c r="J27" s="2">
        <v>14.7798</v>
      </c>
      <c r="K27" s="2">
        <v>0.50009999999999999</v>
      </c>
      <c r="L27" s="2">
        <v>20.448599999999999</v>
      </c>
      <c r="M27" s="2">
        <v>25.128</v>
      </c>
      <c r="N27" s="2">
        <v>2.7244999999999999</v>
      </c>
      <c r="O27" s="2">
        <v>16.832999999999998</v>
      </c>
      <c r="P27" s="2">
        <v>0.65329999999999999</v>
      </c>
      <c r="Q27" s="2">
        <v>23.038900000000002</v>
      </c>
      <c r="R27" s="2">
        <v>15.023899999999999</v>
      </c>
    </row>
    <row r="28" spans="1:18" x14ac:dyDescent="0.25">
      <c r="A28" s="1">
        <v>45473</v>
      </c>
      <c r="B28" s="2">
        <v>27.205100000000002</v>
      </c>
      <c r="C28" s="2">
        <v>7.4835000000000003</v>
      </c>
      <c r="D28" s="2">
        <v>0</v>
      </c>
      <c r="E28" s="2">
        <v>12.096299999999999</v>
      </c>
      <c r="F28" s="2">
        <v>0</v>
      </c>
      <c r="G28" s="2">
        <v>2.8653</v>
      </c>
      <c r="H28" s="2">
        <v>8.4046000000000003</v>
      </c>
      <c r="I28" s="2">
        <v>0.61009999999999998</v>
      </c>
      <c r="J28" s="2">
        <v>0.34389999999999998</v>
      </c>
      <c r="K28" s="2">
        <v>0.51029999999999998</v>
      </c>
      <c r="L28" s="2">
        <v>19.558800000000002</v>
      </c>
      <c r="M28" s="2">
        <v>24.744900000000001</v>
      </c>
      <c r="N28" s="2">
        <v>2.0522</v>
      </c>
      <c r="O28" s="2">
        <v>15.456799999999999</v>
      </c>
      <c r="P28" s="2">
        <v>0.58630000000000004</v>
      </c>
      <c r="Q28" s="2">
        <v>23.758500000000002</v>
      </c>
      <c r="R28" s="2">
        <v>13.5444</v>
      </c>
    </row>
    <row r="29" spans="1:18" x14ac:dyDescent="0.25">
      <c r="A29" s="1">
        <v>45565</v>
      </c>
      <c r="B29" s="2">
        <v>24.893899999999999</v>
      </c>
      <c r="C29" s="2">
        <v>3.3428</v>
      </c>
      <c r="D29" s="2">
        <v>0</v>
      </c>
      <c r="E29" s="2">
        <v>3.4358</v>
      </c>
      <c r="F29" s="2">
        <v>1.9646999999999999</v>
      </c>
      <c r="G29" s="2">
        <v>4.7568000000000001</v>
      </c>
      <c r="H29" s="2">
        <v>14.934699999999999</v>
      </c>
      <c r="I29" s="2">
        <v>1.7582</v>
      </c>
      <c r="J29" s="2">
        <v>15.8775</v>
      </c>
      <c r="K29" s="2">
        <v>5.9095000000000004</v>
      </c>
      <c r="L29" s="2">
        <v>17.150700000000001</v>
      </c>
      <c r="M29" s="2">
        <v>24.052499999999998</v>
      </c>
      <c r="N29" s="2">
        <v>1.9008</v>
      </c>
      <c r="O29" s="2">
        <v>15.476100000000001</v>
      </c>
      <c r="P29" s="2">
        <v>2.5600000000000001E-2</v>
      </c>
      <c r="Q29" s="2">
        <v>19.438700000000001</v>
      </c>
      <c r="R29" s="2">
        <v>12.395200000000001</v>
      </c>
    </row>
    <row r="30" spans="1:18" x14ac:dyDescent="0.25">
      <c r="A30" s="1">
        <v>45657</v>
      </c>
      <c r="B30" s="2">
        <v>25.317299999999999</v>
      </c>
      <c r="C30" s="2">
        <v>3.3428</v>
      </c>
      <c r="D30" s="2">
        <v>0</v>
      </c>
      <c r="E30" s="2">
        <v>3.6692999999999998</v>
      </c>
      <c r="F30" s="2">
        <v>1.6862999999999999</v>
      </c>
      <c r="G30" s="2">
        <v>9.0449999999999999</v>
      </c>
      <c r="H30" s="2">
        <v>5.8194999999999997</v>
      </c>
      <c r="I30" s="2">
        <v>2.3639999999999999</v>
      </c>
      <c r="J30" s="2">
        <v>14.7798</v>
      </c>
      <c r="K30" s="2">
        <v>0.49159999999999998</v>
      </c>
      <c r="L30" s="2">
        <v>17.764099999999999</v>
      </c>
      <c r="M30" s="2">
        <v>21.814</v>
      </c>
      <c r="N30" s="2">
        <v>3.9138999999999999</v>
      </c>
      <c r="O30" s="2">
        <v>17.797899999999998</v>
      </c>
      <c r="P30" s="2">
        <v>0.57699999999999996</v>
      </c>
      <c r="Q30" s="2">
        <v>19.116199999999999</v>
      </c>
      <c r="R30" s="2">
        <v>8.6403999999999996</v>
      </c>
    </row>
    <row r="31" spans="1:18" x14ac:dyDescent="0.25">
      <c r="A31" s="1">
        <v>45747</v>
      </c>
      <c r="B31" s="2">
        <v>26.542999999999999</v>
      </c>
      <c r="C31" s="2">
        <v>7.4101999999999997</v>
      </c>
      <c r="D31" s="2">
        <v>0</v>
      </c>
      <c r="E31" s="2">
        <v>3.3081999999999998</v>
      </c>
      <c r="F31" s="2">
        <v>1.2679</v>
      </c>
      <c r="G31" s="2">
        <v>8.6402999999999999</v>
      </c>
      <c r="H31" s="2">
        <v>9.8306000000000004</v>
      </c>
      <c r="I31" s="2">
        <v>3.3214000000000001</v>
      </c>
      <c r="J31" s="2">
        <v>13.8592</v>
      </c>
      <c r="K31" s="2">
        <v>0.4506</v>
      </c>
      <c r="L31" s="2">
        <v>22.040199999999999</v>
      </c>
      <c r="M31" s="2">
        <v>21.7454</v>
      </c>
      <c r="N31" s="2">
        <v>3.8216999999999999</v>
      </c>
      <c r="O31" s="2">
        <v>19.4773</v>
      </c>
      <c r="P31" s="2">
        <v>0.48170000000000002</v>
      </c>
      <c r="Q31" s="2">
        <v>17.674199999999999</v>
      </c>
      <c r="R31" s="2">
        <v>6.0885999999999996</v>
      </c>
    </row>
    <row r="32" spans="1:18" x14ac:dyDescent="0.25">
      <c r="A32" s="1">
        <v>45838</v>
      </c>
      <c r="B32" s="2">
        <v>27.420300000000001</v>
      </c>
      <c r="C32" s="2">
        <v>8.6891999999999996</v>
      </c>
      <c r="D32" s="2">
        <v>0</v>
      </c>
      <c r="E32" s="2">
        <v>2.9548999999999999</v>
      </c>
      <c r="F32" s="2">
        <v>3.7492999999999999</v>
      </c>
      <c r="G32" s="2">
        <v>9.0859000000000005</v>
      </c>
      <c r="H32" s="2">
        <v>12.8444</v>
      </c>
      <c r="I32" s="2">
        <v>4.1513</v>
      </c>
      <c r="J32" s="2">
        <v>15.647600000000001</v>
      </c>
      <c r="K32" s="2">
        <v>0.51129999999999998</v>
      </c>
      <c r="L32" s="2">
        <v>22.2944</v>
      </c>
      <c r="M32" s="2">
        <v>22.541699999999999</v>
      </c>
      <c r="N32" s="2">
        <v>4.4779999999999998</v>
      </c>
      <c r="O32" s="2">
        <v>17.603300000000001</v>
      </c>
      <c r="P32" s="2">
        <v>0.4496</v>
      </c>
      <c r="Q32" s="2">
        <v>14.823600000000001</v>
      </c>
      <c r="R32" s="2">
        <v>6.1063000000000001</v>
      </c>
    </row>
    <row r="33" spans="1:18" x14ac:dyDescent="0.25">
      <c r="A33" s="1">
        <v>45930</v>
      </c>
      <c r="B33" s="2">
        <v>27.975200000000001</v>
      </c>
      <c r="C33" s="2">
        <v>10.401199999999999</v>
      </c>
      <c r="D33" s="2">
        <v>0</v>
      </c>
      <c r="E33" s="2">
        <v>2.7475000000000001</v>
      </c>
      <c r="F33" s="2">
        <v>4.4790999999999999</v>
      </c>
      <c r="G33" s="2">
        <v>10.860799999999999</v>
      </c>
      <c r="H33" s="2">
        <v>13.9069</v>
      </c>
      <c r="I33" s="2">
        <v>4.2602000000000002</v>
      </c>
      <c r="J33" s="2">
        <v>16.288799999999998</v>
      </c>
      <c r="K33" s="2">
        <v>0.49519999999999997</v>
      </c>
      <c r="L33" s="2">
        <v>25.0276</v>
      </c>
      <c r="M33" s="2">
        <v>23.9057</v>
      </c>
      <c r="N33" s="2">
        <v>4.7396000000000003</v>
      </c>
      <c r="O33" s="2">
        <v>19.401199999999999</v>
      </c>
      <c r="P33" s="2">
        <v>0.9788</v>
      </c>
      <c r="Q33" s="2">
        <v>14.1889</v>
      </c>
      <c r="R33" s="2">
        <v>9.2385000000000002</v>
      </c>
    </row>
    <row r="34" spans="1:18" x14ac:dyDescent="0.25">
      <c r="A34" s="1">
        <v>46022</v>
      </c>
      <c r="B34" s="2">
        <v>30.136900000000001</v>
      </c>
      <c r="C34" s="2">
        <v>4.1410999999999998</v>
      </c>
      <c r="D34" s="2">
        <v>0</v>
      </c>
      <c r="E34" s="2">
        <v>3.5971000000000002</v>
      </c>
      <c r="F34" s="2">
        <v>3.7492999999999999</v>
      </c>
      <c r="G34" s="2">
        <v>12.307499999999999</v>
      </c>
      <c r="H34" s="2">
        <v>14.142300000000001</v>
      </c>
      <c r="I34" s="2">
        <v>5.6750999999999996</v>
      </c>
      <c r="J34" s="2">
        <v>26.979500000000002</v>
      </c>
      <c r="K34" s="2">
        <v>0.51580000000000004</v>
      </c>
      <c r="L34" s="2">
        <v>24.4207</v>
      </c>
      <c r="M34" s="2">
        <v>28.192299999999999</v>
      </c>
      <c r="N34" s="2">
        <v>4.3655999999999997</v>
      </c>
      <c r="O34" s="2">
        <v>23.174399999999999</v>
      </c>
      <c r="P34" s="2">
        <v>0.92659999999999998</v>
      </c>
      <c r="Q34" s="2">
        <v>13.901300000000001</v>
      </c>
      <c r="R34" s="2">
        <v>9.5083000000000002</v>
      </c>
    </row>
    <row r="35" spans="1:18" x14ac:dyDescent="0.25">
      <c r="A35" s="1">
        <v>46112</v>
      </c>
      <c r="B35" s="2">
        <v>29.1785</v>
      </c>
      <c r="C35" s="2">
        <v>11.5428</v>
      </c>
      <c r="D35" s="2">
        <v>0</v>
      </c>
      <c r="E35" s="2">
        <v>3.4862000000000002</v>
      </c>
      <c r="F35" s="2">
        <v>2.5929000000000002</v>
      </c>
      <c r="G35" s="2">
        <v>12.7559</v>
      </c>
      <c r="H35" s="2">
        <v>13.2142</v>
      </c>
      <c r="I35" s="2">
        <v>4.8407999999999998</v>
      </c>
      <c r="J35" s="2">
        <v>24.0854</v>
      </c>
      <c r="K35" s="2">
        <v>0.4521</v>
      </c>
      <c r="L35" s="2">
        <v>24.278300000000002</v>
      </c>
      <c r="M35" s="2">
        <v>26.378799999999998</v>
      </c>
      <c r="N35" s="2">
        <v>4.0861999999999998</v>
      </c>
      <c r="O35" s="2">
        <v>21.480399999999999</v>
      </c>
      <c r="P35" s="2">
        <v>0.61899999999999999</v>
      </c>
      <c r="Q35" s="2">
        <v>9.1141000000000005</v>
      </c>
      <c r="R35" s="2">
        <v>8.2133000000000003</v>
      </c>
    </row>
    <row r="36" spans="1:18" x14ac:dyDescent="0.25">
      <c r="A36" s="1">
        <v>46203</v>
      </c>
      <c r="B36" s="2">
        <v>27.570799999999998</v>
      </c>
      <c r="C36" s="2">
        <v>6.0042</v>
      </c>
      <c r="D36" s="2">
        <v>6.1000000000000004E-3</v>
      </c>
      <c r="E36" s="2">
        <v>3.2490999999999999</v>
      </c>
      <c r="F36" s="2">
        <v>1.51</v>
      </c>
      <c r="G36" s="2">
        <v>18.931799999999999</v>
      </c>
      <c r="H36" s="2">
        <v>14.2478</v>
      </c>
      <c r="I36" s="2">
        <v>5.0865</v>
      </c>
      <c r="J36" s="2">
        <v>23.0319</v>
      </c>
      <c r="K36" s="2">
        <v>0.48730000000000001</v>
      </c>
      <c r="L36" s="2">
        <v>24.707000000000001</v>
      </c>
      <c r="M36" s="2">
        <v>33.359099999999998</v>
      </c>
      <c r="N36" s="2">
        <v>4.2545000000000002</v>
      </c>
      <c r="O36" s="2">
        <v>21.658999999999999</v>
      </c>
      <c r="P36" s="2">
        <v>0.81330000000000002</v>
      </c>
      <c r="Q36" s="2">
        <v>8.4444999999999997</v>
      </c>
      <c r="R36" s="2">
        <v>14.247999999999999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A472-2D89-4DF0-B5EF-19E9DD29EDBA}">
  <dimension ref="A1:R36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_xll.BDH(B$1,"CUR_RATIO","2017-12-29","","Dir=V","Per=Q","Days=A","Dts=S","cols=2;rows=35")</f>
        <v>43100</v>
      </c>
      <c r="B2" s="2">
        <v>1.1903999999999999</v>
      </c>
      <c r="C2" s="2" t="str">
        <f>_xll.BDH(C$1,"CUR_RATIO","2017-12-29","","Dir=V","Per=Q","Days=A","Dts=H","cols=1;rows=35")</f>
        <v>#N/A N/A</v>
      </c>
      <c r="D2" s="2">
        <f>_xll.BDH(D$1,"CUR_RATIO","2017-12-29","","Dir=V","Per=Q","Days=A","Dts=H","cols=1;rows=35")</f>
        <v>2.1331000000000002</v>
      </c>
      <c r="E2" s="2" t="str">
        <f>_xll.BDH(E$1,"CUR_RATIO","2017-12-29","","Dir=V","Per=Q","Days=A","Dts=H","cols=1;rows=35")</f>
        <v>#N/A N/A</v>
      </c>
      <c r="F2" s="2">
        <f>_xll.BDH(F$1,"CUR_RATIO","2017-12-29","","Dir=V","Per=Q","Days=A","Dts=H","cols=1;rows=35")</f>
        <v>0.52910000000000001</v>
      </c>
      <c r="G2" s="2">
        <f>_xll.BDH(G$1,"CUR_RATIO","2017-12-29","","Dir=V","Per=Q","Days=A","Dts=H","cols=1;rows=35")</f>
        <v>0.74239999999999995</v>
      </c>
      <c r="H2" s="2" t="str">
        <f>_xll.BDH(H$1,"CUR_RATIO","2017-12-29","","Dir=V","Per=Q","Days=A","Dts=H","cols=1;rows=35")</f>
        <v>#N/A N/A</v>
      </c>
      <c r="I2" s="2" t="str">
        <f>_xll.BDH(I$1,"CUR_RATIO","2017-12-29","","Dir=V","Per=Q","Days=A","Dts=H","cols=1;rows=35")</f>
        <v>#N/A N/A</v>
      </c>
      <c r="J2" s="2">
        <f>_xll.BDH(J$1,"CUR_RATIO","2017-12-29","","Dir=V","Per=Q","Days=A","Dts=H","cols=1;rows=35")</f>
        <v>1.5350999999999999</v>
      </c>
      <c r="K2" s="2">
        <f>_xll.BDH(K$1,"CUR_RATIO","2017-12-29","","Dir=V","Per=Q","Days=A","Dts=H","cols=1;rows=35")</f>
        <v>2.1494</v>
      </c>
      <c r="L2" s="2">
        <f>_xll.BDH(L$1,"CUR_RATIO","2017-12-29","","Dir=V","Per=Q","Days=A","Dts=H","cols=1;rows=35")</f>
        <v>0.5706</v>
      </c>
      <c r="M2" s="2">
        <f>_xll.BDH(M$1,"CUR_RATIO","2017-12-29","","Dir=V","Per=Q","Days=A","Dts=H","cols=1;rows=35")</f>
        <v>1.5458000000000001</v>
      </c>
      <c r="N2" s="2" t="str">
        <f>_xll.BDH(N$1,"CUR_RATIO","2017-12-29","","Dir=V","Per=Q","Days=A","Dts=H","cols=1;rows=35")</f>
        <v>#N/A N/A</v>
      </c>
      <c r="O2" s="2">
        <f>_xll.BDH(O$1,"CUR_RATIO","2017-12-29","","Dir=V","Per=Q","Days=A","Dts=H","cols=1;rows=35")</f>
        <v>1.5049999999999999</v>
      </c>
      <c r="P2" s="2">
        <f>_xll.BDH(P$1,"CUR_RATIO","2017-12-29","","Dir=V","Per=Q","Days=A","Dts=H","cols=1;rows=35")</f>
        <v>1.0062</v>
      </c>
      <c r="Q2" s="2">
        <f>_xll.BDH(Q$1,"CUR_RATIO","2017-12-29","","Dir=V","Per=Q","Days=A","Dts=H","cols=1;rows=35")</f>
        <v>1.9809000000000001</v>
      </c>
      <c r="R2" s="2">
        <f>_xll.BDH(R$1,"CUR_RATIO","2017-12-29","","Dir=V","Per=Q","Days=A","Dts=H","cols=1;rows=35")</f>
        <v>1.0308999999999999</v>
      </c>
    </row>
    <row r="3" spans="1:18" x14ac:dyDescent="0.25">
      <c r="A3" s="1">
        <v>43190</v>
      </c>
      <c r="B3" s="2">
        <v>1.2092000000000001</v>
      </c>
      <c r="C3" s="2" t="s">
        <v>18</v>
      </c>
      <c r="D3" s="2">
        <v>2.4009999999999998</v>
      </c>
      <c r="E3" s="2" t="s">
        <v>18</v>
      </c>
      <c r="F3" s="2">
        <v>0.95840000000000003</v>
      </c>
      <c r="G3" s="2">
        <v>0.92</v>
      </c>
      <c r="H3" s="2" t="s">
        <v>18</v>
      </c>
      <c r="I3" s="2" t="s">
        <v>18</v>
      </c>
      <c r="J3" s="2">
        <v>1.7096</v>
      </c>
      <c r="K3" s="2">
        <v>2.3898000000000001</v>
      </c>
      <c r="L3" s="2">
        <v>0.49409999999999998</v>
      </c>
      <c r="M3" s="2">
        <v>1.6005</v>
      </c>
      <c r="N3" s="2" t="s">
        <v>18</v>
      </c>
      <c r="O3" s="2">
        <v>1.5105</v>
      </c>
      <c r="P3" s="2">
        <v>0.88900000000000001</v>
      </c>
      <c r="Q3" s="2">
        <v>1.6171</v>
      </c>
      <c r="R3" s="2">
        <v>1.2975000000000001</v>
      </c>
    </row>
    <row r="4" spans="1:18" x14ac:dyDescent="0.25">
      <c r="A4" s="1">
        <v>43281</v>
      </c>
      <c r="B4" s="2">
        <v>1.2241</v>
      </c>
      <c r="C4" s="2" t="s">
        <v>18</v>
      </c>
      <c r="D4" s="2">
        <v>3.8142</v>
      </c>
      <c r="E4" s="2" t="s">
        <v>18</v>
      </c>
      <c r="F4" s="2">
        <v>0.84740000000000004</v>
      </c>
      <c r="G4" s="2">
        <v>0.86780000000000002</v>
      </c>
      <c r="H4" s="2" t="s">
        <v>18</v>
      </c>
      <c r="I4" s="2" t="s">
        <v>18</v>
      </c>
      <c r="J4" s="2">
        <v>5.8334999999999999</v>
      </c>
      <c r="K4" s="2">
        <v>1.5489999999999999</v>
      </c>
      <c r="L4" s="2">
        <v>0.47370000000000001</v>
      </c>
      <c r="M4" s="2">
        <v>1.4648000000000001</v>
      </c>
      <c r="N4" s="2" t="s">
        <v>18</v>
      </c>
      <c r="O4" s="2">
        <v>1.7927999999999999</v>
      </c>
      <c r="P4" s="2">
        <v>1.7099</v>
      </c>
      <c r="Q4" s="2">
        <v>1.2806999999999999</v>
      </c>
      <c r="R4" s="2">
        <v>1.4167000000000001</v>
      </c>
    </row>
    <row r="5" spans="1:18" x14ac:dyDescent="0.25">
      <c r="A5" s="1">
        <v>43373</v>
      </c>
      <c r="B5" s="2">
        <v>1.1748000000000001</v>
      </c>
      <c r="C5" s="2" t="s">
        <v>18</v>
      </c>
      <c r="D5" s="2">
        <v>4.1837</v>
      </c>
      <c r="E5" s="2" t="s">
        <v>18</v>
      </c>
      <c r="F5" s="2">
        <v>0.92269999999999996</v>
      </c>
      <c r="G5" s="2">
        <v>0.9244</v>
      </c>
      <c r="H5" s="2" t="s">
        <v>18</v>
      </c>
      <c r="I5" s="2" t="s">
        <v>18</v>
      </c>
      <c r="J5" s="2">
        <v>5.1914999999999996</v>
      </c>
      <c r="K5" s="2">
        <v>1.8148</v>
      </c>
      <c r="L5" s="2">
        <v>0.44540000000000002</v>
      </c>
      <c r="M5" s="2">
        <v>1.4818</v>
      </c>
      <c r="N5" s="2" t="s">
        <v>18</v>
      </c>
      <c r="O5" s="2">
        <v>1.7287999999999999</v>
      </c>
      <c r="P5" s="2">
        <v>1.7362</v>
      </c>
      <c r="Q5" s="2">
        <v>1.3525</v>
      </c>
      <c r="R5" s="2">
        <v>1.1675</v>
      </c>
    </row>
    <row r="6" spans="1:18" x14ac:dyDescent="0.25">
      <c r="A6" s="1">
        <v>43465</v>
      </c>
      <c r="B6" s="2">
        <v>1.1645000000000001</v>
      </c>
      <c r="C6" s="2" t="s">
        <v>18</v>
      </c>
      <c r="D6" s="2">
        <v>2.5741999999999998</v>
      </c>
      <c r="E6" s="2" t="s">
        <v>18</v>
      </c>
      <c r="F6" s="2">
        <v>0.8599</v>
      </c>
      <c r="G6" s="2">
        <v>0.65339999999999998</v>
      </c>
      <c r="H6" s="2" t="s">
        <v>18</v>
      </c>
      <c r="I6" s="2" t="s">
        <v>18</v>
      </c>
      <c r="J6" s="2">
        <v>3.2412999999999998</v>
      </c>
      <c r="K6" s="2">
        <v>1.089</v>
      </c>
      <c r="L6" s="2">
        <v>0.62660000000000005</v>
      </c>
      <c r="M6" s="2">
        <v>1.2859</v>
      </c>
      <c r="N6" s="2" t="s">
        <v>18</v>
      </c>
      <c r="O6" s="2">
        <v>1.7239</v>
      </c>
      <c r="P6" s="2">
        <v>1.1527000000000001</v>
      </c>
      <c r="Q6" s="2">
        <v>1.3757999999999999</v>
      </c>
      <c r="R6" s="2">
        <v>1.2020999999999999</v>
      </c>
    </row>
    <row r="7" spans="1:18" x14ac:dyDescent="0.25">
      <c r="A7" s="1">
        <v>43555</v>
      </c>
      <c r="B7" s="2">
        <v>1.1338999999999999</v>
      </c>
      <c r="C7" s="2" t="s">
        <v>18</v>
      </c>
      <c r="D7" s="2">
        <v>3.7294</v>
      </c>
      <c r="E7" s="2" t="s">
        <v>18</v>
      </c>
      <c r="F7" s="2">
        <v>0.71989999999999998</v>
      </c>
      <c r="G7" s="2">
        <v>0.65590000000000004</v>
      </c>
      <c r="H7" s="2" t="s">
        <v>18</v>
      </c>
      <c r="I7" s="2" t="s">
        <v>18</v>
      </c>
      <c r="J7" s="2">
        <v>3.0363000000000002</v>
      </c>
      <c r="K7" s="2">
        <v>1.2454000000000001</v>
      </c>
      <c r="L7" s="2">
        <v>0.72670000000000001</v>
      </c>
      <c r="M7" s="2">
        <v>1.3360000000000001</v>
      </c>
      <c r="N7" s="2" t="s">
        <v>18</v>
      </c>
      <c r="O7" s="2">
        <v>1.6911</v>
      </c>
      <c r="P7" s="2">
        <v>1.1529</v>
      </c>
      <c r="Q7" s="2">
        <v>1.3828</v>
      </c>
      <c r="R7" s="2">
        <v>1.1738999999999999</v>
      </c>
    </row>
    <row r="8" spans="1:18" x14ac:dyDescent="0.25">
      <c r="A8" s="1">
        <v>43646</v>
      </c>
      <c r="B8" s="2">
        <v>1.1233</v>
      </c>
      <c r="C8" s="2" t="s">
        <v>18</v>
      </c>
      <c r="D8" s="2">
        <v>2.0110999999999999</v>
      </c>
      <c r="E8" s="2" t="s">
        <v>18</v>
      </c>
      <c r="F8" s="2">
        <v>0.76549999999999996</v>
      </c>
      <c r="G8" s="2">
        <v>0.76970000000000005</v>
      </c>
      <c r="H8" s="2" t="s">
        <v>18</v>
      </c>
      <c r="I8" s="2" t="s">
        <v>18</v>
      </c>
      <c r="J8" s="2">
        <v>2.4598</v>
      </c>
      <c r="K8" s="2">
        <v>0.78420000000000001</v>
      </c>
      <c r="L8" s="2">
        <v>0.6976</v>
      </c>
      <c r="M8" s="2">
        <v>1.2413000000000001</v>
      </c>
      <c r="N8" s="2" t="s">
        <v>18</v>
      </c>
      <c r="O8" s="2">
        <v>1.7081999999999999</v>
      </c>
      <c r="P8" s="2">
        <v>1.5004999999999999</v>
      </c>
      <c r="Q8" s="2">
        <v>1.8886000000000001</v>
      </c>
      <c r="R8" s="2">
        <v>1.1986000000000001</v>
      </c>
    </row>
    <row r="9" spans="1:18" x14ac:dyDescent="0.25">
      <c r="A9" s="1">
        <v>43738</v>
      </c>
      <c r="B9" s="2">
        <v>1.0646</v>
      </c>
      <c r="C9" s="2" t="s">
        <v>18</v>
      </c>
      <c r="D9" s="2">
        <v>2.5868000000000002</v>
      </c>
      <c r="E9" s="2" t="s">
        <v>18</v>
      </c>
      <c r="F9" s="2">
        <v>0.76029999999999998</v>
      </c>
      <c r="G9" s="2">
        <v>0.88260000000000005</v>
      </c>
      <c r="H9" s="2" t="s">
        <v>18</v>
      </c>
      <c r="I9" s="2" t="s">
        <v>18</v>
      </c>
      <c r="J9" s="2">
        <v>2.7227999999999999</v>
      </c>
      <c r="K9" s="2">
        <v>0.96909999999999996</v>
      </c>
      <c r="L9" s="2">
        <v>0.84930000000000005</v>
      </c>
      <c r="M9" s="2">
        <v>1.5931</v>
      </c>
      <c r="N9" s="2" t="s">
        <v>18</v>
      </c>
      <c r="O9" s="2">
        <v>1.4858</v>
      </c>
      <c r="P9" s="2">
        <v>1.5490999999999999</v>
      </c>
      <c r="Q9" s="2">
        <v>1.8527</v>
      </c>
      <c r="R9" s="2">
        <v>1.4557</v>
      </c>
    </row>
    <row r="10" spans="1:18" x14ac:dyDescent="0.25">
      <c r="A10" s="1">
        <v>43830</v>
      </c>
      <c r="B10" s="2">
        <v>0.98270000000000002</v>
      </c>
      <c r="C10" s="2" t="s">
        <v>18</v>
      </c>
      <c r="D10" s="2">
        <v>2.2229999999999999</v>
      </c>
      <c r="E10" s="2" t="s">
        <v>18</v>
      </c>
      <c r="F10" s="2">
        <v>0.70599999999999996</v>
      </c>
      <c r="G10" s="2">
        <v>0.72719999999999996</v>
      </c>
      <c r="H10" s="2" t="s">
        <v>18</v>
      </c>
      <c r="I10" s="2" t="s">
        <v>18</v>
      </c>
      <c r="J10" s="2">
        <v>2.6332</v>
      </c>
      <c r="K10" s="2">
        <v>0.72430000000000005</v>
      </c>
      <c r="L10" s="2">
        <v>0.59060000000000001</v>
      </c>
      <c r="M10" s="2">
        <v>1.5956999999999999</v>
      </c>
      <c r="N10" s="2" t="s">
        <v>18</v>
      </c>
      <c r="O10" s="2">
        <v>1.4607000000000001</v>
      </c>
      <c r="P10" s="2">
        <v>1.2158</v>
      </c>
      <c r="Q10" s="2">
        <v>1.7786</v>
      </c>
      <c r="R10" s="2">
        <v>1.4676</v>
      </c>
    </row>
    <row r="11" spans="1:18" x14ac:dyDescent="0.25">
      <c r="A11" s="1">
        <v>43921</v>
      </c>
      <c r="B11" s="2">
        <v>0.86299999999999999</v>
      </c>
      <c r="C11" s="2" t="s">
        <v>18</v>
      </c>
      <c r="D11" s="2">
        <v>2.4188000000000001</v>
      </c>
      <c r="E11" s="2" t="s">
        <v>18</v>
      </c>
      <c r="F11" s="2">
        <v>0.68149999999999999</v>
      </c>
      <c r="G11" s="2">
        <v>0.81210000000000004</v>
      </c>
      <c r="H11" s="2" t="s">
        <v>18</v>
      </c>
      <c r="I11" s="2" t="s">
        <v>18</v>
      </c>
      <c r="J11" s="2">
        <v>2.9544000000000001</v>
      </c>
      <c r="K11" s="2">
        <v>0.80320000000000003</v>
      </c>
      <c r="L11" s="2">
        <v>0.70079999999999998</v>
      </c>
      <c r="M11" s="2">
        <v>1.6452</v>
      </c>
      <c r="N11" s="2" t="s">
        <v>18</v>
      </c>
      <c r="O11" s="2">
        <v>1.3180000000000001</v>
      </c>
      <c r="P11" s="2">
        <v>1.1626000000000001</v>
      </c>
      <c r="Q11" s="2">
        <v>1.7189000000000001</v>
      </c>
      <c r="R11" s="2">
        <v>1.3617999999999999</v>
      </c>
    </row>
    <row r="12" spans="1:18" x14ac:dyDescent="0.25">
      <c r="A12" s="1">
        <v>44012</v>
      </c>
      <c r="B12" s="2">
        <v>0.86990000000000001</v>
      </c>
      <c r="C12" s="2" t="s">
        <v>18</v>
      </c>
      <c r="D12" s="2">
        <v>2.9108999999999998</v>
      </c>
      <c r="E12" s="2" t="s">
        <v>18</v>
      </c>
      <c r="F12" s="2">
        <v>0.62970000000000004</v>
      </c>
      <c r="G12" s="2">
        <v>0.72470000000000001</v>
      </c>
      <c r="H12" s="2" t="s">
        <v>18</v>
      </c>
      <c r="I12" s="2" t="s">
        <v>18</v>
      </c>
      <c r="J12" s="2">
        <v>3.7995999999999999</v>
      </c>
      <c r="K12" s="2">
        <v>1.0720000000000001</v>
      </c>
      <c r="L12" s="2">
        <v>0.59730000000000005</v>
      </c>
      <c r="M12" s="2">
        <v>1.3807</v>
      </c>
      <c r="N12" s="2" t="s">
        <v>18</v>
      </c>
      <c r="O12" s="2">
        <v>1.3365</v>
      </c>
      <c r="P12" s="2">
        <v>1.1235999999999999</v>
      </c>
      <c r="Q12" s="2">
        <v>1.8936999999999999</v>
      </c>
      <c r="R12" s="2">
        <v>1.2533000000000001</v>
      </c>
    </row>
    <row r="13" spans="1:18" x14ac:dyDescent="0.25">
      <c r="A13" s="1">
        <v>44104</v>
      </c>
      <c r="B13" s="2">
        <v>0.95740000000000003</v>
      </c>
      <c r="C13" s="2" t="s">
        <v>18</v>
      </c>
      <c r="D13" s="2">
        <v>1.1123000000000001</v>
      </c>
      <c r="E13" s="2" t="s">
        <v>18</v>
      </c>
      <c r="F13" s="2">
        <v>0.68159999999999998</v>
      </c>
      <c r="G13" s="2">
        <v>0.68659999999999999</v>
      </c>
      <c r="H13" s="2" t="s">
        <v>18</v>
      </c>
      <c r="I13" s="2" t="s">
        <v>18</v>
      </c>
      <c r="J13" s="2">
        <v>3.5960999999999999</v>
      </c>
      <c r="K13" s="2">
        <v>1.3828</v>
      </c>
      <c r="L13" s="2">
        <v>0.68659999999999999</v>
      </c>
      <c r="M13" s="2">
        <v>1.2177</v>
      </c>
      <c r="N13" s="2" t="s">
        <v>18</v>
      </c>
      <c r="O13" s="2">
        <v>0.60260000000000002</v>
      </c>
      <c r="P13" s="2">
        <v>1.1931</v>
      </c>
      <c r="Q13" s="2">
        <v>3.0209999999999999</v>
      </c>
      <c r="R13" s="2">
        <v>1.2199</v>
      </c>
    </row>
    <row r="14" spans="1:18" x14ac:dyDescent="0.25">
      <c r="A14" s="1">
        <v>44196</v>
      </c>
      <c r="B14" s="2">
        <v>0.88370000000000004</v>
      </c>
      <c r="C14" s="2" t="s">
        <v>18</v>
      </c>
      <c r="D14" s="2">
        <v>1.0807</v>
      </c>
      <c r="E14" s="2" t="s">
        <v>18</v>
      </c>
      <c r="F14" s="2">
        <v>0.53169999999999995</v>
      </c>
      <c r="G14" s="2">
        <v>0.55279999999999996</v>
      </c>
      <c r="H14" s="2" t="s">
        <v>18</v>
      </c>
      <c r="I14" s="2" t="s">
        <v>18</v>
      </c>
      <c r="J14" s="2">
        <v>1.9481999999999999</v>
      </c>
      <c r="K14" s="2">
        <v>1.6709000000000001</v>
      </c>
      <c r="L14" s="2">
        <v>0.50219999999999998</v>
      </c>
      <c r="M14" s="2">
        <v>1.6451</v>
      </c>
      <c r="N14" s="2" t="s">
        <v>18</v>
      </c>
      <c r="O14" s="2">
        <v>0.58860000000000001</v>
      </c>
      <c r="P14" s="2">
        <v>1.2191000000000001</v>
      </c>
      <c r="Q14" s="2">
        <v>2.8974000000000002</v>
      </c>
      <c r="R14" s="2">
        <v>1.3073999999999999</v>
      </c>
    </row>
    <row r="15" spans="1:18" x14ac:dyDescent="0.25">
      <c r="A15" s="1">
        <v>44286</v>
      </c>
      <c r="B15" s="2">
        <v>1.0219</v>
      </c>
      <c r="C15" s="2" t="s">
        <v>18</v>
      </c>
      <c r="D15" s="2">
        <v>1.1217999999999999</v>
      </c>
      <c r="E15" s="2" t="s">
        <v>18</v>
      </c>
      <c r="F15" s="2">
        <v>0.48630000000000001</v>
      </c>
      <c r="G15" s="2">
        <v>0.54200000000000004</v>
      </c>
      <c r="H15" s="2" t="s">
        <v>18</v>
      </c>
      <c r="I15" s="2" t="s">
        <v>18</v>
      </c>
      <c r="J15" s="2">
        <v>2.9925000000000002</v>
      </c>
      <c r="K15" s="2">
        <v>1.667</v>
      </c>
      <c r="L15" s="2">
        <v>0.59750000000000003</v>
      </c>
      <c r="M15" s="2">
        <v>1.6618999999999999</v>
      </c>
      <c r="N15" s="2" t="s">
        <v>18</v>
      </c>
      <c r="O15" s="2">
        <v>0.75939999999999996</v>
      </c>
      <c r="P15" s="2">
        <v>1.5426</v>
      </c>
      <c r="Q15" s="2">
        <v>3.5488</v>
      </c>
      <c r="R15" s="2">
        <v>1.3706</v>
      </c>
    </row>
    <row r="16" spans="1:18" x14ac:dyDescent="0.25">
      <c r="A16" s="1">
        <v>44377</v>
      </c>
      <c r="B16" s="2">
        <v>1.0354000000000001</v>
      </c>
      <c r="C16" s="2" t="s">
        <v>18</v>
      </c>
      <c r="D16" s="2">
        <v>1.1032999999999999</v>
      </c>
      <c r="E16" s="2" t="s">
        <v>18</v>
      </c>
      <c r="F16" s="2">
        <v>0.53969999999999996</v>
      </c>
      <c r="G16" s="2">
        <v>0.55200000000000005</v>
      </c>
      <c r="H16" s="2" t="s">
        <v>18</v>
      </c>
      <c r="I16" s="2" t="s">
        <v>18</v>
      </c>
      <c r="J16" s="2">
        <v>1.5293000000000001</v>
      </c>
      <c r="K16" s="2">
        <v>2.2938000000000001</v>
      </c>
      <c r="L16" s="2">
        <v>0.64970000000000006</v>
      </c>
      <c r="M16" s="2">
        <v>3.0470999999999999</v>
      </c>
      <c r="N16" s="2" t="s">
        <v>18</v>
      </c>
      <c r="O16" s="2">
        <v>0.99370000000000003</v>
      </c>
      <c r="P16" s="2">
        <v>1.5405</v>
      </c>
      <c r="Q16" s="2">
        <v>3.7766999999999999</v>
      </c>
      <c r="R16" s="2">
        <v>1.7363999999999999</v>
      </c>
    </row>
    <row r="17" spans="1:18" x14ac:dyDescent="0.25">
      <c r="A17" s="1">
        <v>44469</v>
      </c>
      <c r="B17" s="2">
        <v>1.1646000000000001</v>
      </c>
      <c r="C17" s="2" t="s">
        <v>18</v>
      </c>
      <c r="D17" s="2">
        <v>1.3516999999999999</v>
      </c>
      <c r="E17" s="2" t="s">
        <v>18</v>
      </c>
      <c r="F17" s="2">
        <v>0.57079999999999997</v>
      </c>
      <c r="G17" s="2">
        <v>0.56310000000000004</v>
      </c>
      <c r="H17" s="2" t="s">
        <v>18</v>
      </c>
      <c r="I17" s="2" t="s">
        <v>18</v>
      </c>
      <c r="J17" s="2">
        <v>1.7110000000000001</v>
      </c>
      <c r="K17" s="2">
        <v>2.8973</v>
      </c>
      <c r="L17" s="2">
        <v>0.36320000000000002</v>
      </c>
      <c r="M17" s="2">
        <v>3.7578999999999998</v>
      </c>
      <c r="N17" s="2" t="s">
        <v>18</v>
      </c>
      <c r="O17" s="2">
        <v>1.1394</v>
      </c>
      <c r="P17" s="2">
        <v>1.6561999999999999</v>
      </c>
      <c r="Q17" s="2">
        <v>5.181</v>
      </c>
      <c r="R17" s="2">
        <v>1.9047000000000001</v>
      </c>
    </row>
    <row r="18" spans="1:18" x14ac:dyDescent="0.25">
      <c r="A18" s="1">
        <v>44561</v>
      </c>
      <c r="B18" s="2">
        <v>1.1921999999999999</v>
      </c>
      <c r="C18" s="2" t="s">
        <v>18</v>
      </c>
      <c r="D18" s="2">
        <v>1.2131000000000001</v>
      </c>
      <c r="E18" s="2" t="s">
        <v>18</v>
      </c>
      <c r="F18" s="2">
        <v>0.57079999999999997</v>
      </c>
      <c r="G18" s="2">
        <v>0.43070000000000003</v>
      </c>
      <c r="H18" s="2" t="s">
        <v>18</v>
      </c>
      <c r="I18" s="2" t="s">
        <v>18</v>
      </c>
      <c r="J18" s="2">
        <v>1.7518</v>
      </c>
      <c r="K18" s="2">
        <v>1.8653999999999999</v>
      </c>
      <c r="L18" s="2">
        <v>0.39350000000000002</v>
      </c>
      <c r="M18" s="2">
        <v>3.294</v>
      </c>
      <c r="N18" s="2" t="s">
        <v>18</v>
      </c>
      <c r="O18" s="2">
        <v>1.2175</v>
      </c>
      <c r="P18" s="2">
        <v>1.6688000000000001</v>
      </c>
      <c r="Q18" s="2">
        <v>3.6509</v>
      </c>
      <c r="R18" s="2">
        <v>2.746</v>
      </c>
    </row>
    <row r="19" spans="1:18" x14ac:dyDescent="0.25">
      <c r="A19" s="1">
        <v>44651</v>
      </c>
      <c r="B19" s="2">
        <v>1.2529999999999999</v>
      </c>
      <c r="C19" s="2" t="s">
        <v>18</v>
      </c>
      <c r="D19" s="2">
        <v>1.2887999999999999</v>
      </c>
      <c r="E19" s="2" t="s">
        <v>18</v>
      </c>
      <c r="F19" s="2">
        <v>0.42680000000000001</v>
      </c>
      <c r="G19" s="2">
        <v>0.41820000000000002</v>
      </c>
      <c r="H19" s="2" t="s">
        <v>18</v>
      </c>
      <c r="I19" s="2" t="s">
        <v>18</v>
      </c>
      <c r="J19" s="2">
        <v>2.0346000000000002</v>
      </c>
      <c r="K19" s="2">
        <v>2.21</v>
      </c>
      <c r="L19" s="2">
        <v>0.46200000000000002</v>
      </c>
      <c r="M19" s="2">
        <v>3.1101999999999999</v>
      </c>
      <c r="N19" s="2" t="s">
        <v>18</v>
      </c>
      <c r="O19" s="2">
        <v>1.1420999999999999</v>
      </c>
      <c r="P19" s="2">
        <v>1.7623</v>
      </c>
      <c r="Q19" s="2">
        <v>3.5488</v>
      </c>
      <c r="R19" s="2">
        <v>3.3033000000000001</v>
      </c>
    </row>
    <row r="20" spans="1:18" x14ac:dyDescent="0.25">
      <c r="A20" s="1">
        <v>44742</v>
      </c>
      <c r="B20" s="2">
        <v>1.149</v>
      </c>
      <c r="C20" s="2" t="s">
        <v>18</v>
      </c>
      <c r="D20" s="2">
        <v>1.4651000000000001</v>
      </c>
      <c r="E20" s="2" t="s">
        <v>18</v>
      </c>
      <c r="F20" s="2">
        <v>0.46389999999999998</v>
      </c>
      <c r="G20" s="2">
        <v>0.41639999999999999</v>
      </c>
      <c r="H20" s="2" t="s">
        <v>18</v>
      </c>
      <c r="I20" s="2" t="s">
        <v>18</v>
      </c>
      <c r="J20" s="2">
        <v>3.2263000000000002</v>
      </c>
      <c r="K20" s="2">
        <v>2.3795999999999999</v>
      </c>
      <c r="L20" s="2">
        <v>0.33110000000000001</v>
      </c>
      <c r="M20" s="2">
        <v>2.8929</v>
      </c>
      <c r="N20" s="2" t="s">
        <v>18</v>
      </c>
      <c r="O20" s="2">
        <v>0.76559999999999995</v>
      </c>
      <c r="P20" s="2">
        <v>2.2018</v>
      </c>
      <c r="Q20" s="2">
        <v>2.8117000000000001</v>
      </c>
      <c r="R20" s="2">
        <v>2.7481</v>
      </c>
    </row>
    <row r="21" spans="1:18" x14ac:dyDescent="0.25">
      <c r="A21" s="1">
        <v>44834</v>
      </c>
      <c r="B21" s="2">
        <v>1.0430999999999999</v>
      </c>
      <c r="C21" s="2" t="s">
        <v>18</v>
      </c>
      <c r="D21" s="2">
        <v>1.5476000000000001</v>
      </c>
      <c r="E21" s="2" t="s">
        <v>18</v>
      </c>
      <c r="F21" s="2">
        <v>0.47710000000000002</v>
      </c>
      <c r="G21" s="2">
        <v>0.41620000000000001</v>
      </c>
      <c r="H21" s="2" t="s">
        <v>18</v>
      </c>
      <c r="I21" s="2" t="s">
        <v>18</v>
      </c>
      <c r="J21" s="2">
        <v>3.2677</v>
      </c>
      <c r="K21" s="2">
        <v>5.3415999999999997</v>
      </c>
      <c r="L21" s="2">
        <v>0.35339999999999999</v>
      </c>
      <c r="M21" s="2">
        <v>2.4586999999999999</v>
      </c>
      <c r="N21" s="2" t="s">
        <v>18</v>
      </c>
      <c r="O21" s="2">
        <v>0.91320000000000001</v>
      </c>
      <c r="P21" s="2">
        <v>3.2235999999999998</v>
      </c>
      <c r="Q21" s="2">
        <v>3.0078999999999998</v>
      </c>
      <c r="R21" s="2">
        <v>2.8094999999999999</v>
      </c>
    </row>
    <row r="22" spans="1:18" x14ac:dyDescent="0.25">
      <c r="A22" s="1">
        <v>44926</v>
      </c>
      <c r="B22" s="2">
        <v>1.0752999999999999</v>
      </c>
      <c r="C22" s="2" t="s">
        <v>18</v>
      </c>
      <c r="D22" s="2">
        <v>1.4011</v>
      </c>
      <c r="E22" s="2" t="s">
        <v>18</v>
      </c>
      <c r="F22" s="2">
        <v>0.43009999999999998</v>
      </c>
      <c r="G22" s="2">
        <v>0.4199</v>
      </c>
      <c r="H22" s="2" t="s">
        <v>18</v>
      </c>
      <c r="I22" s="2" t="s">
        <v>18</v>
      </c>
      <c r="J22" s="2">
        <v>3.6450999999999998</v>
      </c>
      <c r="K22" s="2">
        <v>4.4877000000000002</v>
      </c>
      <c r="L22" s="2">
        <v>0.39190000000000003</v>
      </c>
      <c r="M22" s="2">
        <v>2.1324000000000001</v>
      </c>
      <c r="N22" s="2" t="s">
        <v>18</v>
      </c>
      <c r="O22" s="2">
        <v>1.0039</v>
      </c>
      <c r="P22" s="2">
        <v>2.9893000000000001</v>
      </c>
      <c r="Q22" s="2">
        <v>2.4792000000000001</v>
      </c>
      <c r="R22" s="2">
        <v>2.4714999999999998</v>
      </c>
    </row>
    <row r="23" spans="1:18" x14ac:dyDescent="0.25">
      <c r="A23" s="1">
        <v>45016</v>
      </c>
      <c r="B23" s="2">
        <v>1.0253000000000001</v>
      </c>
      <c r="C23" s="2" t="s">
        <v>18</v>
      </c>
      <c r="D23" s="2">
        <v>1.6884999999999999</v>
      </c>
      <c r="E23" s="2" t="s">
        <v>18</v>
      </c>
      <c r="F23" s="2">
        <v>0.38829999999999998</v>
      </c>
      <c r="G23" s="2">
        <v>0.4365</v>
      </c>
      <c r="H23" s="2" t="s">
        <v>18</v>
      </c>
      <c r="I23" s="2" t="s">
        <v>18</v>
      </c>
      <c r="J23" s="2">
        <v>4.3918999999999997</v>
      </c>
      <c r="K23" s="2">
        <v>7.8638000000000003</v>
      </c>
      <c r="L23" s="2">
        <v>0.48649999999999999</v>
      </c>
      <c r="M23" s="2">
        <v>2.0059999999999998</v>
      </c>
      <c r="N23" s="2" t="s">
        <v>18</v>
      </c>
      <c r="O23" s="2">
        <v>1.1721999999999999</v>
      </c>
      <c r="P23" s="2">
        <v>3.3041</v>
      </c>
      <c r="Q23" s="2">
        <v>2.4487999999999999</v>
      </c>
      <c r="R23" s="2">
        <v>1.9645999999999999</v>
      </c>
    </row>
    <row r="24" spans="1:18" x14ac:dyDescent="0.25">
      <c r="A24" s="1">
        <v>45107</v>
      </c>
      <c r="B24" s="2">
        <v>0.99080000000000001</v>
      </c>
      <c r="C24" s="2" t="s">
        <v>18</v>
      </c>
      <c r="D24" s="2">
        <v>1.7738</v>
      </c>
      <c r="E24" s="2" t="s">
        <v>18</v>
      </c>
      <c r="F24" s="2">
        <v>0.4909</v>
      </c>
      <c r="G24" s="2">
        <v>0.44740000000000002</v>
      </c>
      <c r="H24" s="2" t="s">
        <v>18</v>
      </c>
      <c r="I24" s="2" t="s">
        <v>18</v>
      </c>
      <c r="J24" s="2">
        <v>3.9283999999999999</v>
      </c>
      <c r="K24" s="2">
        <v>2.1015999999999999</v>
      </c>
      <c r="L24" s="2">
        <v>0.4073</v>
      </c>
      <c r="M24" s="2">
        <v>2.3452999999999999</v>
      </c>
      <c r="N24" s="2" t="s">
        <v>18</v>
      </c>
      <c r="O24" s="2">
        <v>1.0774999999999999</v>
      </c>
      <c r="P24" s="2">
        <v>2.8275999999999999</v>
      </c>
      <c r="Q24" s="2">
        <v>2.9211999999999998</v>
      </c>
      <c r="R24" s="2">
        <v>2.3088000000000002</v>
      </c>
    </row>
    <row r="25" spans="1:18" x14ac:dyDescent="0.25">
      <c r="A25" s="1">
        <v>45199</v>
      </c>
      <c r="B25" s="2">
        <v>0.94499999999999995</v>
      </c>
      <c r="C25" s="2" t="s">
        <v>18</v>
      </c>
      <c r="D25" s="2">
        <v>1.7457</v>
      </c>
      <c r="E25" s="2" t="s">
        <v>18</v>
      </c>
      <c r="F25" s="2">
        <v>0.50570000000000004</v>
      </c>
      <c r="G25" s="2">
        <v>0.93389999999999995</v>
      </c>
      <c r="H25" s="2" t="s">
        <v>18</v>
      </c>
      <c r="I25" s="2" t="s">
        <v>18</v>
      </c>
      <c r="J25" s="2">
        <v>3.2538</v>
      </c>
      <c r="K25" s="2">
        <v>2.0337000000000001</v>
      </c>
      <c r="L25" s="2">
        <v>0.45229999999999998</v>
      </c>
      <c r="M25" s="2">
        <v>2.2073999999999998</v>
      </c>
      <c r="N25" s="2" t="s">
        <v>18</v>
      </c>
      <c r="O25" s="2">
        <v>1.0996999999999999</v>
      </c>
      <c r="P25" s="2">
        <v>1.9875</v>
      </c>
      <c r="Q25" s="2">
        <v>3.2669999999999999</v>
      </c>
      <c r="R25" s="2">
        <v>2.6472000000000002</v>
      </c>
    </row>
    <row r="26" spans="1:18" x14ac:dyDescent="0.25">
      <c r="A26" s="1">
        <v>45291</v>
      </c>
      <c r="B26" s="2">
        <v>0.9012</v>
      </c>
      <c r="C26" s="2" t="s">
        <v>18</v>
      </c>
      <c r="D26" s="2">
        <v>1.2517</v>
      </c>
      <c r="E26" s="2" t="s">
        <v>18</v>
      </c>
      <c r="F26" s="2">
        <v>0.41899999999999998</v>
      </c>
      <c r="G26" s="2">
        <v>0.65280000000000005</v>
      </c>
      <c r="H26" s="2" t="s">
        <v>18</v>
      </c>
      <c r="I26" s="2" t="s">
        <v>18</v>
      </c>
      <c r="J26" s="2">
        <v>3.5569000000000002</v>
      </c>
      <c r="K26" s="2">
        <v>1.3499000000000001</v>
      </c>
      <c r="L26" s="2">
        <v>0.43569999999999998</v>
      </c>
      <c r="M26" s="2">
        <v>2.5592000000000001</v>
      </c>
      <c r="N26" s="2" t="s">
        <v>18</v>
      </c>
      <c r="O26" s="2">
        <v>1.1811</v>
      </c>
      <c r="P26" s="2">
        <v>1.8079000000000001</v>
      </c>
      <c r="Q26" s="2">
        <v>3.1671</v>
      </c>
      <c r="R26" s="2">
        <v>1.9782999999999999</v>
      </c>
    </row>
    <row r="27" spans="1:18" x14ac:dyDescent="0.25">
      <c r="A27" s="1">
        <v>45382</v>
      </c>
      <c r="B27" s="2">
        <v>0.94899999999999995</v>
      </c>
      <c r="C27" s="2" t="s">
        <v>18</v>
      </c>
      <c r="D27" s="2">
        <v>1.5374000000000001</v>
      </c>
      <c r="E27" s="2" t="s">
        <v>18</v>
      </c>
      <c r="F27" s="2">
        <v>0.3619</v>
      </c>
      <c r="G27" s="2">
        <v>0.79100000000000004</v>
      </c>
      <c r="H27" s="2" t="s">
        <v>18</v>
      </c>
      <c r="I27" s="2" t="s">
        <v>18</v>
      </c>
      <c r="J27" s="2">
        <v>2.7322000000000002</v>
      </c>
      <c r="K27" s="2">
        <v>1.7822</v>
      </c>
      <c r="L27" s="2">
        <v>0.50229999999999997</v>
      </c>
      <c r="M27" s="2">
        <v>2.6297000000000001</v>
      </c>
      <c r="N27" s="2" t="s">
        <v>18</v>
      </c>
      <c r="O27" s="2">
        <v>1.0824</v>
      </c>
      <c r="P27" s="2">
        <v>1.8368</v>
      </c>
      <c r="Q27" s="2">
        <v>3.6848999999999998</v>
      </c>
      <c r="R27" s="2">
        <v>2.0043000000000002</v>
      </c>
    </row>
    <row r="28" spans="1:18" x14ac:dyDescent="0.25">
      <c r="A28" s="1">
        <v>45473</v>
      </c>
      <c r="B28" s="2">
        <v>0.9335</v>
      </c>
      <c r="C28" s="2" t="s">
        <v>18</v>
      </c>
      <c r="D28" s="2">
        <v>1.6812</v>
      </c>
      <c r="E28" s="2" t="s">
        <v>18</v>
      </c>
      <c r="F28" s="2">
        <v>0.63129999999999997</v>
      </c>
      <c r="G28" s="2">
        <v>0.76100000000000001</v>
      </c>
      <c r="H28" s="2" t="s">
        <v>18</v>
      </c>
      <c r="I28" s="2" t="s">
        <v>18</v>
      </c>
      <c r="J28" s="2">
        <v>1.0545</v>
      </c>
      <c r="K28" s="2">
        <v>2.6839</v>
      </c>
      <c r="L28" s="2">
        <v>0.48570000000000002</v>
      </c>
      <c r="M28" s="2">
        <v>2.3275000000000001</v>
      </c>
      <c r="N28" s="2" t="s">
        <v>18</v>
      </c>
      <c r="O28" s="2">
        <v>1.0717000000000001</v>
      </c>
      <c r="P28" s="2">
        <v>1.8584000000000001</v>
      </c>
      <c r="Q28" s="2">
        <v>4.9271000000000003</v>
      </c>
      <c r="R28" s="2">
        <v>2.1316999999999999</v>
      </c>
    </row>
    <row r="29" spans="1:18" x14ac:dyDescent="0.25">
      <c r="A29" s="1">
        <v>45565</v>
      </c>
      <c r="B29" s="2">
        <v>0.877</v>
      </c>
      <c r="C29" s="2" t="s">
        <v>18</v>
      </c>
      <c r="D29" s="2">
        <v>1.7597</v>
      </c>
      <c r="E29" s="2" t="s">
        <v>18</v>
      </c>
      <c r="F29" s="2">
        <v>0.81799999999999995</v>
      </c>
      <c r="G29" s="2">
        <v>0.81979999999999997</v>
      </c>
      <c r="H29" s="2" t="s">
        <v>18</v>
      </c>
      <c r="I29" s="2" t="s">
        <v>18</v>
      </c>
      <c r="J29" s="2">
        <v>2.6735000000000002</v>
      </c>
      <c r="K29" s="2">
        <v>1.9661</v>
      </c>
      <c r="L29" s="2">
        <v>0.40060000000000001</v>
      </c>
      <c r="M29" s="2">
        <v>2.4096000000000002</v>
      </c>
      <c r="N29" s="2" t="s">
        <v>18</v>
      </c>
      <c r="O29" s="2">
        <v>1.0927</v>
      </c>
      <c r="P29" s="2">
        <v>1.9499</v>
      </c>
      <c r="Q29" s="2">
        <v>3.7507000000000001</v>
      </c>
      <c r="R29" s="2">
        <v>2.1278999999999999</v>
      </c>
    </row>
    <row r="30" spans="1:18" x14ac:dyDescent="0.25">
      <c r="A30" s="1">
        <v>45657</v>
      </c>
      <c r="B30" s="2">
        <v>0.78300000000000003</v>
      </c>
      <c r="C30" s="2" t="s">
        <v>18</v>
      </c>
      <c r="D30" s="2">
        <v>1.5839000000000001</v>
      </c>
      <c r="E30" s="2" t="s">
        <v>18</v>
      </c>
      <c r="F30" s="2">
        <v>0.81699999999999995</v>
      </c>
      <c r="G30" s="2">
        <v>0.88670000000000004</v>
      </c>
      <c r="H30" s="2" t="s">
        <v>18</v>
      </c>
      <c r="I30" s="2" t="s">
        <v>18</v>
      </c>
      <c r="J30" s="2">
        <v>2.7322000000000002</v>
      </c>
      <c r="K30" s="2">
        <v>2.3252999999999999</v>
      </c>
      <c r="L30" s="2">
        <v>0.38540000000000002</v>
      </c>
      <c r="M30" s="2">
        <v>1.8282</v>
      </c>
      <c r="N30" s="2" t="s">
        <v>18</v>
      </c>
      <c r="O30" s="2">
        <v>1.0510999999999999</v>
      </c>
      <c r="P30" s="2">
        <v>1.7890999999999999</v>
      </c>
      <c r="Q30" s="2">
        <v>3.3706999999999998</v>
      </c>
      <c r="R30" s="2">
        <v>1.4792000000000001</v>
      </c>
    </row>
    <row r="31" spans="1:18" x14ac:dyDescent="0.25">
      <c r="A31" s="1">
        <v>45747</v>
      </c>
      <c r="B31" s="2">
        <v>0.79039999999999999</v>
      </c>
      <c r="C31" s="2" t="s">
        <v>18</v>
      </c>
      <c r="D31" s="2">
        <v>1.9543999999999999</v>
      </c>
      <c r="E31" s="2" t="s">
        <v>18</v>
      </c>
      <c r="F31" s="2">
        <v>0.85389999999999999</v>
      </c>
      <c r="G31" s="2">
        <v>0.8528</v>
      </c>
      <c r="H31" s="2" t="s">
        <v>18</v>
      </c>
      <c r="I31" s="2" t="s">
        <v>18</v>
      </c>
      <c r="J31" s="2">
        <v>2.9685000000000001</v>
      </c>
      <c r="K31" s="2">
        <v>4.1353999999999997</v>
      </c>
      <c r="L31" s="2">
        <v>0.48270000000000002</v>
      </c>
      <c r="M31" s="2">
        <v>1.8239000000000001</v>
      </c>
      <c r="N31" s="2" t="s">
        <v>18</v>
      </c>
      <c r="O31" s="2">
        <v>1.2532000000000001</v>
      </c>
      <c r="P31" s="2">
        <v>1.7369000000000001</v>
      </c>
      <c r="Q31" s="2">
        <v>3.2536</v>
      </c>
      <c r="R31" s="2">
        <v>1.2354000000000001</v>
      </c>
    </row>
    <row r="32" spans="1:18" x14ac:dyDescent="0.25">
      <c r="A32" s="1">
        <v>45838</v>
      </c>
      <c r="B32" s="2">
        <v>0.74860000000000004</v>
      </c>
      <c r="C32" s="2" t="s">
        <v>18</v>
      </c>
      <c r="D32" s="2">
        <v>2.3839999999999999</v>
      </c>
      <c r="E32" s="2" t="s">
        <v>18</v>
      </c>
      <c r="F32" s="2">
        <v>1.3362000000000001</v>
      </c>
      <c r="G32" s="2">
        <v>0.99339999999999995</v>
      </c>
      <c r="H32" s="2" t="s">
        <v>18</v>
      </c>
      <c r="I32" s="2" t="s">
        <v>18</v>
      </c>
      <c r="J32" s="2">
        <v>3.3538000000000001</v>
      </c>
      <c r="K32" s="2">
        <v>2.3593000000000002</v>
      </c>
      <c r="L32" s="2">
        <v>0.42899999999999999</v>
      </c>
      <c r="M32" s="2">
        <v>2.702</v>
      </c>
      <c r="N32" s="2" t="s">
        <v>18</v>
      </c>
      <c r="O32" s="2">
        <v>1.2444999999999999</v>
      </c>
      <c r="P32" s="2">
        <v>1.7136</v>
      </c>
      <c r="Q32" s="2">
        <v>2.4447000000000001</v>
      </c>
      <c r="R32" s="2">
        <v>1.3143</v>
      </c>
    </row>
    <row r="33" spans="1:18" x14ac:dyDescent="0.25">
      <c r="A33" s="1">
        <v>45930</v>
      </c>
      <c r="B33" s="2">
        <v>0.74690000000000001</v>
      </c>
      <c r="C33" s="2" t="s">
        <v>18</v>
      </c>
      <c r="D33" s="2">
        <v>1.3302</v>
      </c>
      <c r="E33" s="2" t="s">
        <v>18</v>
      </c>
      <c r="F33" s="2">
        <v>1.3104</v>
      </c>
      <c r="G33" s="2">
        <v>1.0364</v>
      </c>
      <c r="H33" s="2" t="s">
        <v>18</v>
      </c>
      <c r="I33" s="2" t="s">
        <v>18</v>
      </c>
      <c r="J33" s="2">
        <v>3.7231999999999998</v>
      </c>
      <c r="K33" s="2">
        <v>1.9189000000000001</v>
      </c>
      <c r="L33" s="2">
        <v>0.52280000000000004</v>
      </c>
      <c r="M33" s="2">
        <v>2.6836000000000002</v>
      </c>
      <c r="N33" s="2" t="s">
        <v>18</v>
      </c>
      <c r="O33" s="2">
        <v>1.3307</v>
      </c>
      <c r="P33" s="2">
        <v>1.5766</v>
      </c>
      <c r="Q33" s="2">
        <v>2.1352000000000002</v>
      </c>
      <c r="R33" s="2">
        <v>1.4037999999999999</v>
      </c>
    </row>
    <row r="34" spans="1:18" x14ac:dyDescent="0.25">
      <c r="A34" s="1">
        <v>46022</v>
      </c>
      <c r="B34" s="2">
        <v>0.87019999999999997</v>
      </c>
      <c r="C34" s="2" t="s">
        <v>18</v>
      </c>
      <c r="D34" s="2">
        <v>1.2979000000000001</v>
      </c>
      <c r="E34" s="2" t="s">
        <v>18</v>
      </c>
      <c r="F34" s="2">
        <v>1.3362000000000001</v>
      </c>
      <c r="G34" s="2">
        <v>1.0703</v>
      </c>
      <c r="H34" s="2" t="s">
        <v>18</v>
      </c>
      <c r="I34" s="2" t="s">
        <v>18</v>
      </c>
      <c r="J34" s="2">
        <v>5.0016999999999996</v>
      </c>
      <c r="K34" s="2">
        <v>2.3245</v>
      </c>
      <c r="L34" s="2">
        <v>0.4778</v>
      </c>
      <c r="M34" s="2">
        <v>3.1111</v>
      </c>
      <c r="N34" s="2" t="s">
        <v>18</v>
      </c>
      <c r="O34" s="2">
        <v>1.4261999999999999</v>
      </c>
      <c r="P34" s="2">
        <v>1.6368</v>
      </c>
      <c r="Q34" s="2">
        <v>2.2441</v>
      </c>
      <c r="R34" s="2">
        <v>1.7727999999999999</v>
      </c>
    </row>
    <row r="35" spans="1:18" x14ac:dyDescent="0.25">
      <c r="A35" s="1">
        <v>46112</v>
      </c>
      <c r="B35" s="2">
        <v>0.93720000000000003</v>
      </c>
      <c r="C35" s="2" t="s">
        <v>18</v>
      </c>
      <c r="D35" s="2">
        <v>1.5301</v>
      </c>
      <c r="E35" s="2" t="s">
        <v>18</v>
      </c>
      <c r="F35" s="2">
        <v>1.3845000000000001</v>
      </c>
      <c r="G35" s="2">
        <v>1.1924999999999999</v>
      </c>
      <c r="H35" s="2" t="s">
        <v>18</v>
      </c>
      <c r="I35" s="2" t="s">
        <v>18</v>
      </c>
      <c r="J35" s="2">
        <v>5.1125999999999996</v>
      </c>
      <c r="K35" s="2">
        <v>2.8921999999999999</v>
      </c>
      <c r="L35" s="2">
        <v>0.58109999999999995</v>
      </c>
      <c r="M35" s="2">
        <v>2.0417000000000001</v>
      </c>
      <c r="N35" s="2" t="s">
        <v>18</v>
      </c>
      <c r="O35" s="2">
        <v>1.4321999999999999</v>
      </c>
      <c r="P35" s="2">
        <v>1.5435000000000001</v>
      </c>
      <c r="Q35" s="2">
        <v>2.0369999999999999</v>
      </c>
      <c r="R35" s="2">
        <v>1.0052000000000001</v>
      </c>
    </row>
    <row r="36" spans="1:18" x14ac:dyDescent="0.25">
      <c r="A36" s="1">
        <v>46203</v>
      </c>
      <c r="B36" s="2">
        <v>0.93410000000000004</v>
      </c>
      <c r="C36" s="2" t="s">
        <v>18</v>
      </c>
      <c r="D36" s="2">
        <v>1.974</v>
      </c>
      <c r="E36" s="2" t="s">
        <v>18</v>
      </c>
      <c r="F36" s="2">
        <v>1.3716999999999999</v>
      </c>
      <c r="G36" s="2">
        <v>1.4558</v>
      </c>
      <c r="H36" s="2" t="s">
        <v>18</v>
      </c>
      <c r="I36" s="2" t="s">
        <v>18</v>
      </c>
      <c r="J36" s="2">
        <v>3.6724999999999999</v>
      </c>
      <c r="K36" s="2">
        <v>5.4389000000000003</v>
      </c>
      <c r="L36" s="2">
        <v>0.57709999999999995</v>
      </c>
      <c r="M36" s="2">
        <v>3.6406000000000001</v>
      </c>
      <c r="N36" s="2" t="s">
        <v>18</v>
      </c>
      <c r="O36" s="2">
        <v>1.4650000000000001</v>
      </c>
      <c r="P36" s="2">
        <v>1.5669</v>
      </c>
      <c r="Q36" s="2">
        <v>2.0137</v>
      </c>
      <c r="R36" s="2">
        <v>1.2758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003B-AB0E-4045-81DC-7735513BEE2C}">
  <dimension ref="A1:R36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_xll.BDH(B$1,"BS_SH_OUT","2017-12-29","","Dir=V","Per=Q","Days=A","Dts=S","cols=2;rows=35")</f>
        <v>43100</v>
      </c>
      <c r="B2" s="2">
        <v>3926.2525999999998</v>
      </c>
      <c r="C2" s="2">
        <f>_xll.BDH(C$1,"BS_SH_OUT","2017-12-29","","Dir=V","Per=Q","Days=A","Dts=H","cols=1;rows=35")</f>
        <v>858.45299999999997</v>
      </c>
      <c r="D2" s="2">
        <f>_xll.BDH(D$1,"BS_SH_OUT","2017-12-29","","Dir=V","Per=Q","Days=A","Dts=H","cols=1;rows=35")</f>
        <v>444.67380000000003</v>
      </c>
      <c r="E2" s="2">
        <f>_xll.BDH(E$1,"BS_SH_OUT","2017-12-29","","Dir=V","Per=Q","Days=A","Dts=H","cols=1;rows=35")</f>
        <v>456.72230000000002</v>
      </c>
      <c r="F2" s="2">
        <f>_xll.BDH(F$1,"BS_SH_OUT","2017-12-29","","Dir=V","Per=Q","Days=A","Dts=H","cols=1;rows=35")</f>
        <v>569.17100000000005</v>
      </c>
      <c r="G2" s="2">
        <f>_xll.BDH(G$1,"BS_SH_OUT","2017-12-29","","Dir=V","Per=Q","Days=A","Dts=H","cols=1;rows=35")</f>
        <v>898.28</v>
      </c>
      <c r="H2" s="2">
        <f>_xll.BDH(H$1,"BS_SH_OUT","2017-12-29","","Dir=V","Per=Q","Days=A","Dts=H","cols=1;rows=35")</f>
        <v>669.66300000000001</v>
      </c>
      <c r="I2" s="2">
        <f>_xll.BDH(I$1,"BS_SH_OUT","2017-12-29","","Dir=V","Per=Q","Days=A","Dts=H","cols=1;rows=35")</f>
        <v>612.65959999999995</v>
      </c>
      <c r="J2" s="2">
        <f>_xll.BDH(J$1,"BS_SH_OUT","2017-12-29","","Dir=V","Per=Q","Days=A","Dts=H","cols=1;rows=35")</f>
        <v>825.07299999999998</v>
      </c>
      <c r="K2" s="2">
        <f>_xll.BDH(K$1,"BS_SH_OUT","2017-12-29","","Dir=V","Per=Q","Days=A","Dts=H","cols=1;rows=35")</f>
        <v>439.37400000000002</v>
      </c>
      <c r="L2" s="2">
        <f>_xll.BDH(L$1,"BS_SH_OUT","2017-12-29","","Dir=V","Per=Q","Days=A","Dts=H","cols=1;rows=35")</f>
        <v>953.93820000000005</v>
      </c>
      <c r="M2" s="2">
        <f>_xll.BDH(M$1,"BS_SH_OUT","2017-12-29","","Dir=V","Per=Q","Days=A","Dts=H","cols=1;rows=35")</f>
        <v>1836.4947</v>
      </c>
      <c r="N2" s="2">
        <f>_xll.BDH(N$1,"BS_SH_OUT","2017-12-29","","Dir=V","Per=Q","Days=A","Dts=H","cols=1;rows=35")</f>
        <v>1431.7715000000001</v>
      </c>
      <c r="O2" s="2">
        <f>_xll.BDH(O$1,"BS_SH_OUT","2017-12-29","","Dir=V","Per=Q","Days=A","Dts=H","cols=1;rows=35")</f>
        <v>562.45809999999994</v>
      </c>
      <c r="P2" s="2">
        <f>_xll.BDH(P$1,"BS_SH_OUT","2017-12-29","","Dir=V","Per=Q","Days=A","Dts=H","cols=1;rows=35")</f>
        <v>7480.0021999999999</v>
      </c>
      <c r="Q2" s="2">
        <f>_xll.BDH(Q$1,"BS_SH_OUT","2017-12-29","","Dir=V","Per=Q","Days=A","Dts=H","cols=1;rows=35")</f>
        <v>2800</v>
      </c>
      <c r="R2" s="2">
        <f>_xll.BDH(R$1,"BS_SH_OUT","2017-12-29","","Dir=V","Per=Q","Days=A","Dts=H","cols=1;rows=35")</f>
        <v>1514.0223000000001</v>
      </c>
    </row>
    <row r="3" spans="1:18" x14ac:dyDescent="0.25">
      <c r="A3" s="1">
        <v>43190</v>
      </c>
      <c r="B3" s="2">
        <v>3932.6095999999998</v>
      </c>
      <c r="C3" s="2">
        <v>858.45299999999997</v>
      </c>
      <c r="D3" s="2">
        <v>444.67399999999998</v>
      </c>
      <c r="E3" s="2">
        <v>456.72230000000002</v>
      </c>
      <c r="F3" s="2">
        <v>569.17100000000005</v>
      </c>
      <c r="G3" s="2">
        <v>898.66399999999999</v>
      </c>
      <c r="H3" s="2">
        <v>669.66300000000001</v>
      </c>
      <c r="I3" s="2">
        <v>612.65959999999995</v>
      </c>
      <c r="J3" s="2">
        <v>825.07299999999998</v>
      </c>
      <c r="K3" s="2">
        <v>439.37400000000002</v>
      </c>
      <c r="L3" s="2">
        <v>2138.4666000000002</v>
      </c>
      <c r="M3" s="2">
        <v>2077.3072999999999</v>
      </c>
      <c r="N3" s="2">
        <v>1431.7715000000001</v>
      </c>
      <c r="O3" s="2">
        <v>562.45809999999994</v>
      </c>
      <c r="P3" s="2">
        <v>747.96569999999997</v>
      </c>
      <c r="Q3" s="2">
        <v>2800</v>
      </c>
      <c r="R3" s="2">
        <v>1505.1704</v>
      </c>
    </row>
    <row r="4" spans="1:18" x14ac:dyDescent="0.25">
      <c r="A4" s="1">
        <v>43281</v>
      </c>
      <c r="B4" s="2">
        <v>3932.6095999999998</v>
      </c>
      <c r="C4" s="2">
        <v>858.45299999999997</v>
      </c>
      <c r="D4" s="2">
        <v>444.67399999999998</v>
      </c>
      <c r="E4" s="2">
        <v>456.72230000000002</v>
      </c>
      <c r="F4" s="2">
        <v>569.17100000000005</v>
      </c>
      <c r="G4" s="2">
        <v>898.00900000000001</v>
      </c>
      <c r="H4" s="2">
        <v>669.66300000000001</v>
      </c>
      <c r="I4" s="2">
        <v>612.65959999999995</v>
      </c>
      <c r="J4" s="2">
        <v>825.07299999999998</v>
      </c>
      <c r="K4" s="2">
        <v>439.37389999999999</v>
      </c>
      <c r="L4" s="2">
        <v>2138.4666000000002</v>
      </c>
      <c r="M4" s="2">
        <v>1947.9822999999999</v>
      </c>
      <c r="N4" s="2">
        <v>1431.7715000000001</v>
      </c>
      <c r="O4" s="2">
        <v>562.45809999999994</v>
      </c>
      <c r="P4" s="2">
        <v>7479.6579000000002</v>
      </c>
      <c r="Q4" s="2">
        <v>2800</v>
      </c>
      <c r="R4" s="2">
        <v>1505.1704</v>
      </c>
    </row>
    <row r="5" spans="1:18" x14ac:dyDescent="0.25">
      <c r="A5" s="1">
        <v>43373</v>
      </c>
      <c r="B5" s="2">
        <v>3932.6095999999998</v>
      </c>
      <c r="C5" s="2">
        <v>858.45299999999997</v>
      </c>
      <c r="D5" s="2">
        <v>444.67380000000003</v>
      </c>
      <c r="E5" s="2">
        <v>456.72230000000002</v>
      </c>
      <c r="F5" s="2">
        <v>569.17100000000005</v>
      </c>
      <c r="G5" s="2">
        <v>893.96699999999998</v>
      </c>
      <c r="H5" s="2">
        <v>648.20000000000005</v>
      </c>
      <c r="I5" s="2">
        <v>612.65959999999995</v>
      </c>
      <c r="J5" s="2">
        <v>814.15290000000005</v>
      </c>
      <c r="K5" s="2">
        <v>439.37389999999999</v>
      </c>
      <c r="L5" s="2">
        <v>2138.4666000000002</v>
      </c>
      <c r="M5" s="2">
        <v>1894.5395000000001</v>
      </c>
      <c r="N5" s="2">
        <v>1431.7715000000001</v>
      </c>
      <c r="O5" s="2">
        <v>562.45809999999994</v>
      </c>
      <c r="P5" s="2">
        <v>578.81989999999996</v>
      </c>
      <c r="Q5" s="2">
        <v>2800</v>
      </c>
      <c r="R5" s="2">
        <v>1505.1704</v>
      </c>
    </row>
    <row r="6" spans="1:18" x14ac:dyDescent="0.25">
      <c r="A6" s="1">
        <v>43465</v>
      </c>
      <c r="B6" s="2">
        <v>3923.0243999999998</v>
      </c>
      <c r="C6" s="2">
        <v>858.45299999999997</v>
      </c>
      <c r="D6" s="2">
        <v>444.67380000000003</v>
      </c>
      <c r="E6" s="2">
        <v>456.72230000000002</v>
      </c>
      <c r="F6" s="2">
        <v>569.17100000000005</v>
      </c>
      <c r="G6" s="2">
        <v>883.34400000000005</v>
      </c>
      <c r="H6" s="2">
        <v>640.71500000000003</v>
      </c>
      <c r="I6" s="2">
        <v>612.65959999999995</v>
      </c>
      <c r="J6" s="2">
        <v>810.94880000000001</v>
      </c>
      <c r="K6" s="2">
        <v>439.37389999999999</v>
      </c>
      <c r="L6" s="2">
        <v>2138.4666000000002</v>
      </c>
      <c r="M6" s="2">
        <v>1874.4346</v>
      </c>
      <c r="N6" s="2">
        <v>1431.7715000000001</v>
      </c>
      <c r="O6" s="2">
        <v>539.29740000000004</v>
      </c>
      <c r="P6" s="2">
        <v>7134.9458999999997</v>
      </c>
      <c r="Q6" s="2">
        <v>2800</v>
      </c>
      <c r="R6" s="2">
        <v>1505.1704</v>
      </c>
    </row>
    <row r="7" spans="1:18" x14ac:dyDescent="0.25">
      <c r="A7" s="1">
        <v>43555</v>
      </c>
      <c r="B7" s="2">
        <v>3932.6095999999998</v>
      </c>
      <c r="C7" s="2">
        <v>850.79700000000003</v>
      </c>
      <c r="D7" s="2">
        <v>444.67380000000003</v>
      </c>
      <c r="E7" s="2">
        <v>456.72230000000002</v>
      </c>
      <c r="F7" s="2">
        <v>569.17100000000005</v>
      </c>
      <c r="G7" s="2">
        <v>881.202</v>
      </c>
      <c r="H7" s="2">
        <v>639.39800000000002</v>
      </c>
      <c r="I7" s="2">
        <v>612.65959999999995</v>
      </c>
      <c r="J7" s="2">
        <v>825.07299999999998</v>
      </c>
      <c r="K7" s="2">
        <v>439.37389999999999</v>
      </c>
      <c r="L7" s="2">
        <v>2138.4666000000002</v>
      </c>
      <c r="M7" s="2">
        <v>1874.7248999999999</v>
      </c>
      <c r="N7" s="2">
        <v>1431.7715000000001</v>
      </c>
      <c r="O7" s="2">
        <v>539.29740000000004</v>
      </c>
      <c r="P7" s="2">
        <v>4199.9206999999997</v>
      </c>
      <c r="Q7" s="2">
        <v>2800</v>
      </c>
      <c r="R7" s="2">
        <v>1505.1704</v>
      </c>
    </row>
    <row r="8" spans="1:18" x14ac:dyDescent="0.25">
      <c r="A8" s="1">
        <v>43646</v>
      </c>
      <c r="B8" s="2">
        <v>3932.6098000000002</v>
      </c>
      <c r="C8" s="2">
        <v>858.45299999999997</v>
      </c>
      <c r="D8" s="2">
        <v>444.67380000000003</v>
      </c>
      <c r="E8" s="2">
        <v>456.72230000000002</v>
      </c>
      <c r="F8" s="2">
        <v>569.17100000000005</v>
      </c>
      <c r="G8" s="2">
        <v>875.07420000000002</v>
      </c>
      <c r="H8" s="2">
        <v>639.39800000000002</v>
      </c>
      <c r="I8" s="2">
        <v>612.65959999999995</v>
      </c>
      <c r="J8" s="2">
        <v>803.88549999999998</v>
      </c>
      <c r="K8" s="2">
        <v>439.37389999999999</v>
      </c>
      <c r="L8" s="2">
        <v>2142.1396</v>
      </c>
      <c r="M8" s="2">
        <v>1815.0281</v>
      </c>
      <c r="N8" s="2">
        <v>1431.7715000000001</v>
      </c>
      <c r="O8" s="2">
        <v>539.29740000000004</v>
      </c>
      <c r="P8" s="2">
        <v>11900.061</v>
      </c>
      <c r="Q8" s="2">
        <v>2800</v>
      </c>
      <c r="R8" s="2">
        <v>1505.1704</v>
      </c>
    </row>
    <row r="9" spans="1:18" x14ac:dyDescent="0.25">
      <c r="A9" s="1">
        <v>43738</v>
      </c>
      <c r="B9" s="2">
        <v>3932.6098000000002</v>
      </c>
      <c r="C9" s="2">
        <v>858.45299999999997</v>
      </c>
      <c r="D9" s="2">
        <v>444.67380000000003</v>
      </c>
      <c r="E9" s="2">
        <v>456.72199999999998</v>
      </c>
      <c r="F9" s="2">
        <v>569.17100000000005</v>
      </c>
      <c r="G9" s="2">
        <v>877.28200000000004</v>
      </c>
      <c r="H9" s="2">
        <v>639.39800000000002</v>
      </c>
      <c r="I9" s="2">
        <v>612.65959999999995</v>
      </c>
      <c r="J9" s="2">
        <v>794.495</v>
      </c>
      <c r="K9" s="2">
        <v>439.37389999999999</v>
      </c>
      <c r="L9" s="2">
        <v>2142.1396</v>
      </c>
      <c r="M9" s="2">
        <v>1742.8375000000001</v>
      </c>
      <c r="N9" s="2">
        <v>1431.7715000000001</v>
      </c>
      <c r="O9" s="2">
        <v>539.29740000000004</v>
      </c>
      <c r="P9" s="2">
        <v>7000.0358999999999</v>
      </c>
      <c r="Q9" s="2">
        <v>2800</v>
      </c>
      <c r="R9" s="2">
        <v>1505.1704</v>
      </c>
    </row>
    <row r="10" spans="1:18" x14ac:dyDescent="0.25">
      <c r="A10" s="1">
        <v>43830</v>
      </c>
      <c r="B10" s="2">
        <v>3923.1484</v>
      </c>
      <c r="C10" s="2">
        <v>858.45299999999997</v>
      </c>
      <c r="D10" s="2">
        <v>444.67380000000003</v>
      </c>
      <c r="E10" s="2">
        <v>456.72199999999998</v>
      </c>
      <c r="F10" s="2">
        <v>569.17100000000005</v>
      </c>
      <c r="G10" s="2">
        <v>875.07420000000002</v>
      </c>
      <c r="H10" s="2">
        <v>639.41340000000002</v>
      </c>
      <c r="I10" s="2">
        <v>612.71010000000001</v>
      </c>
      <c r="J10" s="2">
        <v>784.60850000000005</v>
      </c>
      <c r="K10" s="2">
        <v>439.37389999999999</v>
      </c>
      <c r="L10" s="2">
        <v>2153.6880000000001</v>
      </c>
      <c r="M10" s="2">
        <v>1899.8703</v>
      </c>
      <c r="N10" s="2">
        <v>1431.7719</v>
      </c>
      <c r="O10" s="2">
        <v>539.154</v>
      </c>
      <c r="P10" s="2">
        <v>6999.9913999999999</v>
      </c>
      <c r="Q10" s="2">
        <v>2800</v>
      </c>
      <c r="R10" s="2">
        <v>1505.1704</v>
      </c>
    </row>
    <row r="11" spans="1:18" x14ac:dyDescent="0.25">
      <c r="A11" s="1">
        <v>43921</v>
      </c>
      <c r="B11" s="2">
        <v>3923.8559</v>
      </c>
      <c r="C11" s="2">
        <v>858.45299999999997</v>
      </c>
      <c r="D11" s="2">
        <v>444.67380000000003</v>
      </c>
      <c r="E11" s="2">
        <v>456.72199999999998</v>
      </c>
      <c r="F11" s="2">
        <v>569.17100000000005</v>
      </c>
      <c r="G11" s="2">
        <v>906.45510000000002</v>
      </c>
      <c r="H11" s="2">
        <v>639.41300000000001</v>
      </c>
      <c r="I11" s="2">
        <v>612.71010000000001</v>
      </c>
      <c r="J11" s="2">
        <v>794.49530000000004</v>
      </c>
      <c r="K11" s="2">
        <v>439.37389999999999</v>
      </c>
      <c r="L11" s="2">
        <v>2153.6880000000001</v>
      </c>
      <c r="M11" s="2">
        <v>1591.8058000000001</v>
      </c>
      <c r="N11" s="2">
        <v>1431.7715000000001</v>
      </c>
      <c r="O11" s="2">
        <v>539.154</v>
      </c>
      <c r="P11" s="2">
        <v>7000.0358999999999</v>
      </c>
      <c r="Q11" s="2">
        <v>2800</v>
      </c>
      <c r="R11" s="2">
        <v>1505.1704</v>
      </c>
    </row>
    <row r="12" spans="1:18" x14ac:dyDescent="0.25">
      <c r="A12" s="1">
        <v>44012</v>
      </c>
      <c r="B12" s="2">
        <v>3923.9672999999998</v>
      </c>
      <c r="C12" s="2">
        <v>858.45299999999997</v>
      </c>
      <c r="D12" s="2">
        <v>444.67380000000003</v>
      </c>
      <c r="E12" s="2">
        <v>456.72230000000002</v>
      </c>
      <c r="F12" s="2">
        <v>569.17100000000005</v>
      </c>
      <c r="G12" s="2">
        <v>875.07420000000002</v>
      </c>
      <c r="H12" s="2">
        <v>639.41340000000002</v>
      </c>
      <c r="I12" s="2">
        <v>612.71010000000001</v>
      </c>
      <c r="J12" s="2">
        <v>760.56470000000002</v>
      </c>
      <c r="K12" s="2">
        <v>446.40390000000002</v>
      </c>
      <c r="L12" s="2">
        <v>2153.6880000000001</v>
      </c>
      <c r="M12" s="2">
        <v>1552.7204999999999</v>
      </c>
      <c r="N12" s="2">
        <v>1431.7715000000001</v>
      </c>
      <c r="O12" s="2">
        <v>539.154</v>
      </c>
      <c r="P12" s="2">
        <v>8668.9366000000009</v>
      </c>
      <c r="Q12" s="2">
        <v>2800</v>
      </c>
      <c r="R12" s="2">
        <v>1505.1704</v>
      </c>
    </row>
    <row r="13" spans="1:18" x14ac:dyDescent="0.25">
      <c r="A13" s="1">
        <v>44104</v>
      </c>
      <c r="B13" s="2">
        <v>3932.6098000000002</v>
      </c>
      <c r="C13" s="2">
        <v>858.45299999999997</v>
      </c>
      <c r="D13" s="2">
        <v>444.67380000000003</v>
      </c>
      <c r="E13" s="2">
        <v>456.72230000000002</v>
      </c>
      <c r="F13" s="2">
        <v>569.17100000000005</v>
      </c>
      <c r="G13" s="2">
        <v>875.07420000000002</v>
      </c>
      <c r="H13" s="2">
        <v>639.41340000000002</v>
      </c>
      <c r="I13" s="2">
        <v>612.71010000000001</v>
      </c>
      <c r="J13" s="2">
        <v>755.61009999999999</v>
      </c>
      <c r="K13" s="2">
        <v>439.37389999999999</v>
      </c>
      <c r="L13" s="2">
        <v>2153.6880000000001</v>
      </c>
      <c r="M13" s="2">
        <v>1544.7862</v>
      </c>
      <c r="N13" s="2">
        <v>1431.7719</v>
      </c>
      <c r="O13" s="2">
        <v>539.154</v>
      </c>
      <c r="P13" s="2">
        <v>7000.0367999999999</v>
      </c>
      <c r="Q13" s="2">
        <v>2800</v>
      </c>
      <c r="R13" s="2">
        <v>1505.1704</v>
      </c>
    </row>
    <row r="14" spans="1:18" x14ac:dyDescent="0.25">
      <c r="A14" s="1">
        <v>44196</v>
      </c>
      <c r="B14" s="2">
        <v>3925.5556999999999</v>
      </c>
      <c r="C14" s="2">
        <v>858.45299999999997</v>
      </c>
      <c r="D14" s="2">
        <v>444.67380000000003</v>
      </c>
      <c r="E14" s="2">
        <v>456.72199999999998</v>
      </c>
      <c r="F14" s="2">
        <v>569.17100000000005</v>
      </c>
      <c r="G14" s="2">
        <v>875.07420000000002</v>
      </c>
      <c r="H14" s="2">
        <v>639.41340000000002</v>
      </c>
      <c r="I14" s="2">
        <v>612.71010000000001</v>
      </c>
      <c r="J14" s="2">
        <v>752.76110000000006</v>
      </c>
      <c r="K14" s="2">
        <v>439.37389999999999</v>
      </c>
      <c r="L14" s="2">
        <v>2153.6880000000001</v>
      </c>
      <c r="M14" s="2">
        <v>1451.1708000000001</v>
      </c>
      <c r="N14" s="2">
        <v>1479.8670999999999</v>
      </c>
      <c r="O14" s="2">
        <v>539.154</v>
      </c>
      <c r="P14" s="2">
        <v>7000.0009</v>
      </c>
      <c r="Q14" s="2">
        <v>2800</v>
      </c>
      <c r="R14" s="2">
        <v>1505.1704</v>
      </c>
    </row>
    <row r="15" spans="1:18" x14ac:dyDescent="0.25">
      <c r="A15" s="1">
        <v>44286</v>
      </c>
      <c r="B15" s="2">
        <v>3933.1279</v>
      </c>
      <c r="C15" s="2">
        <v>858.45299999999997</v>
      </c>
      <c r="D15" s="2">
        <v>444.67380000000003</v>
      </c>
      <c r="E15" s="2">
        <v>456.72199999999998</v>
      </c>
      <c r="F15" s="2">
        <v>569.17100000000005</v>
      </c>
      <c r="G15" s="2">
        <v>906.20860000000005</v>
      </c>
      <c r="H15" s="2">
        <v>639.41340000000002</v>
      </c>
      <c r="I15" s="2">
        <v>612.71010000000001</v>
      </c>
      <c r="J15" s="2">
        <v>794.49530000000004</v>
      </c>
      <c r="K15" s="2">
        <v>439.37400000000002</v>
      </c>
      <c r="L15" s="2">
        <v>2153.6880000000001</v>
      </c>
      <c r="M15" s="2">
        <v>1451.5525</v>
      </c>
      <c r="N15" s="2">
        <v>1479.8671999999999</v>
      </c>
      <c r="O15" s="2">
        <v>628.29020000000003</v>
      </c>
      <c r="P15" s="2">
        <v>7000.0367999999999</v>
      </c>
      <c r="Q15" s="2">
        <v>2800</v>
      </c>
      <c r="R15" s="2">
        <v>1505.1704</v>
      </c>
    </row>
    <row r="16" spans="1:18" x14ac:dyDescent="0.25">
      <c r="A16" s="1">
        <v>44377</v>
      </c>
      <c r="B16" s="2">
        <v>3925.7271000000001</v>
      </c>
      <c r="C16" s="2">
        <v>858.45299999999997</v>
      </c>
      <c r="D16" s="2">
        <v>444.67380000000003</v>
      </c>
      <c r="E16" s="2">
        <v>456.72199999999998</v>
      </c>
      <c r="F16" s="2">
        <v>569.17100000000005</v>
      </c>
      <c r="G16" s="2">
        <v>906.20860000000005</v>
      </c>
      <c r="H16" s="2">
        <v>639.41340000000002</v>
      </c>
      <c r="I16" s="2">
        <v>612.71010000000001</v>
      </c>
      <c r="J16" s="2">
        <v>794.49530000000004</v>
      </c>
      <c r="K16" s="2">
        <v>439.37400000000002</v>
      </c>
      <c r="L16" s="2">
        <v>2153.6880000000001</v>
      </c>
      <c r="M16" s="2">
        <v>1395.0407</v>
      </c>
      <c r="N16" s="2">
        <v>1479.8671999999999</v>
      </c>
      <c r="O16" s="2">
        <v>628.29020000000003</v>
      </c>
      <c r="P16" s="2">
        <v>7000.0009</v>
      </c>
      <c r="Q16" s="2">
        <v>2800</v>
      </c>
      <c r="R16" s="2">
        <v>1505.1704</v>
      </c>
    </row>
    <row r="17" spans="1:18" x14ac:dyDescent="0.25">
      <c r="A17" s="1">
        <v>44469</v>
      </c>
      <c r="B17" s="2">
        <v>3927.1930000000002</v>
      </c>
      <c r="C17" s="2">
        <v>858.45299999999997</v>
      </c>
      <c r="D17" s="2">
        <v>444.67380000000003</v>
      </c>
      <c r="E17" s="2">
        <v>456.72199999999998</v>
      </c>
      <c r="F17" s="2">
        <v>569.17100000000005</v>
      </c>
      <c r="G17" s="2">
        <v>875.32069999999999</v>
      </c>
      <c r="H17" s="2">
        <v>639.41340000000002</v>
      </c>
      <c r="I17" s="2">
        <v>612.71010000000001</v>
      </c>
      <c r="J17" s="2">
        <v>794.49530000000004</v>
      </c>
      <c r="K17" s="2">
        <v>439.37400000000002</v>
      </c>
      <c r="L17" s="2">
        <v>2153.6880000000001</v>
      </c>
      <c r="M17" s="2">
        <v>1382.527</v>
      </c>
      <c r="N17" s="2">
        <v>1479.8671999999999</v>
      </c>
      <c r="O17" s="2">
        <v>628.30799999999999</v>
      </c>
      <c r="P17" s="2">
        <v>7000.0009</v>
      </c>
      <c r="Q17" s="2">
        <v>2800</v>
      </c>
      <c r="R17" s="2">
        <v>1505.1704</v>
      </c>
    </row>
    <row r="18" spans="1:18" x14ac:dyDescent="0.25">
      <c r="A18" s="1">
        <v>44561</v>
      </c>
      <c r="B18" s="2">
        <v>3927.9259999999999</v>
      </c>
      <c r="C18" s="2">
        <v>813.82950000000005</v>
      </c>
      <c r="D18" s="2">
        <v>444.67380000000003</v>
      </c>
      <c r="E18" s="2">
        <v>828.63350000000003</v>
      </c>
      <c r="F18" s="2">
        <v>569.17100000000005</v>
      </c>
      <c r="G18" s="2">
        <v>875.32069999999999</v>
      </c>
      <c r="H18" s="2">
        <v>639.41340000000002</v>
      </c>
      <c r="I18" s="2">
        <v>612.71010000000001</v>
      </c>
      <c r="J18" s="2">
        <v>752.76110000000006</v>
      </c>
      <c r="K18" s="2">
        <v>439.37389999999999</v>
      </c>
      <c r="L18" s="2">
        <v>2153.6880000000001</v>
      </c>
      <c r="M18" s="2">
        <v>1382.527</v>
      </c>
      <c r="N18" s="2">
        <v>1479.8671999999999</v>
      </c>
      <c r="O18" s="2">
        <v>626.21879999999999</v>
      </c>
      <c r="P18" s="2">
        <v>7000.0002000000004</v>
      </c>
      <c r="Q18" s="2">
        <v>2800</v>
      </c>
      <c r="R18" s="2">
        <v>1505.1704</v>
      </c>
    </row>
    <row r="19" spans="1:18" x14ac:dyDescent="0.25">
      <c r="A19" s="1">
        <v>44651</v>
      </c>
      <c r="B19" s="2">
        <v>3930.1388999999999</v>
      </c>
      <c r="C19" s="2">
        <v>850.83140000000003</v>
      </c>
      <c r="D19" s="2">
        <v>444.67380000000003</v>
      </c>
      <c r="E19" s="2">
        <v>456.72199999999998</v>
      </c>
      <c r="F19" s="2">
        <v>569</v>
      </c>
      <c r="G19" s="2">
        <v>875.32069999999999</v>
      </c>
      <c r="H19" s="2">
        <v>639.41340000000002</v>
      </c>
      <c r="I19" s="2">
        <v>612.71010000000001</v>
      </c>
      <c r="J19" s="2">
        <v>752.76110000000006</v>
      </c>
      <c r="K19" s="2">
        <v>439.37400000000002</v>
      </c>
      <c r="L19" s="2">
        <v>2153.6880000000001</v>
      </c>
      <c r="M19" s="2">
        <v>1382.527</v>
      </c>
      <c r="N19" s="2">
        <v>1479.8671999999999</v>
      </c>
      <c r="O19" s="2">
        <v>626.52949999999998</v>
      </c>
      <c r="P19" s="2">
        <v>7000.0009</v>
      </c>
      <c r="Q19" s="2">
        <v>2800</v>
      </c>
      <c r="R19" s="2">
        <v>1505.1704</v>
      </c>
    </row>
    <row r="20" spans="1:18" x14ac:dyDescent="0.25">
      <c r="A20" s="1">
        <v>44742</v>
      </c>
      <c r="B20" s="2">
        <v>3930.3418000000001</v>
      </c>
      <c r="C20" s="2">
        <v>840.18240000000003</v>
      </c>
      <c r="D20" s="2">
        <v>444.67380000000003</v>
      </c>
      <c r="E20" s="2">
        <v>456.72199999999998</v>
      </c>
      <c r="F20" s="2">
        <v>569</v>
      </c>
      <c r="G20" s="2">
        <v>844.32640000000004</v>
      </c>
      <c r="H20" s="2">
        <v>639.41340000000002</v>
      </c>
      <c r="I20" s="2">
        <v>612.71010000000001</v>
      </c>
      <c r="J20" s="2">
        <v>752.76110000000006</v>
      </c>
      <c r="K20" s="2">
        <v>439.37400000000002</v>
      </c>
      <c r="L20" s="2">
        <v>2153.6880000000001</v>
      </c>
      <c r="M20" s="2">
        <v>1379.7656999999999</v>
      </c>
      <c r="N20" s="2">
        <v>1479.8671999999999</v>
      </c>
      <c r="O20" s="2">
        <v>626.68100000000004</v>
      </c>
      <c r="P20" s="2">
        <v>7000.0009</v>
      </c>
      <c r="Q20" s="2">
        <v>2800</v>
      </c>
      <c r="R20" s="2">
        <v>1505.1704</v>
      </c>
    </row>
    <row r="21" spans="1:18" x14ac:dyDescent="0.25">
      <c r="A21" s="1">
        <v>44834</v>
      </c>
      <c r="B21" s="2">
        <v>3931.0210999999999</v>
      </c>
      <c r="C21" s="2">
        <v>840.18240000000003</v>
      </c>
      <c r="D21" s="2">
        <v>444.67380000000003</v>
      </c>
      <c r="E21" s="2">
        <v>452.46699999999998</v>
      </c>
      <c r="F21" s="2">
        <v>569</v>
      </c>
      <c r="G21" s="2">
        <v>875.46079999999995</v>
      </c>
      <c r="H21" s="2">
        <v>639.41340000000002</v>
      </c>
      <c r="I21" s="2">
        <v>612.71010000000001</v>
      </c>
      <c r="J21" s="2">
        <v>794.49530000000004</v>
      </c>
      <c r="K21" s="2">
        <v>439.37400000000002</v>
      </c>
      <c r="L21" s="2">
        <v>2153.6880000000001</v>
      </c>
      <c r="M21" s="2">
        <v>1379.7656999999999</v>
      </c>
      <c r="N21" s="2">
        <v>1479.8671999999999</v>
      </c>
      <c r="O21" s="2">
        <v>628.84490000000005</v>
      </c>
      <c r="P21" s="2">
        <v>7000.0009</v>
      </c>
      <c r="Q21" s="2">
        <v>2800</v>
      </c>
      <c r="R21" s="2">
        <v>1505.1704</v>
      </c>
    </row>
    <row r="22" spans="1:18" x14ac:dyDescent="0.25">
      <c r="A22" s="1">
        <v>44926</v>
      </c>
      <c r="B22" s="2">
        <v>3933.1279</v>
      </c>
      <c r="C22" s="2">
        <v>840.18240000000003</v>
      </c>
      <c r="D22" s="2">
        <v>444.67380000000003</v>
      </c>
      <c r="E22" s="2">
        <v>444.411</v>
      </c>
      <c r="F22" s="2">
        <v>569</v>
      </c>
      <c r="G22" s="2">
        <v>875.6028</v>
      </c>
      <c r="H22" s="2">
        <v>639.41340000000002</v>
      </c>
      <c r="I22" s="2">
        <v>612.71010000000001</v>
      </c>
      <c r="J22" s="2">
        <v>752.76110000000006</v>
      </c>
      <c r="K22" s="2">
        <v>439.37389999999999</v>
      </c>
      <c r="L22" s="2">
        <v>2153.6880000000001</v>
      </c>
      <c r="M22" s="2">
        <v>1359.6414</v>
      </c>
      <c r="N22" s="2">
        <v>1479.8671999999999</v>
      </c>
      <c r="O22" s="2">
        <v>628.8528</v>
      </c>
      <c r="P22" s="2">
        <v>7000.0009</v>
      </c>
      <c r="Q22" s="2">
        <v>2800</v>
      </c>
      <c r="R22" s="2">
        <v>1502.7446</v>
      </c>
    </row>
    <row r="23" spans="1:18" x14ac:dyDescent="0.25">
      <c r="A23" s="1">
        <v>45016</v>
      </c>
      <c r="B23" s="2">
        <v>3933.1279</v>
      </c>
      <c r="C23" s="2">
        <v>840.18240000000003</v>
      </c>
      <c r="D23" s="2">
        <v>444.67380000000003</v>
      </c>
      <c r="E23" s="2">
        <v>442.67200000000003</v>
      </c>
      <c r="F23" s="2">
        <v>569</v>
      </c>
      <c r="G23" s="2">
        <v>875.46079999999995</v>
      </c>
      <c r="H23" s="2">
        <v>639.41300000000001</v>
      </c>
      <c r="I23" s="2">
        <v>612.71010000000001</v>
      </c>
      <c r="J23" s="2">
        <v>752.76110000000006</v>
      </c>
      <c r="K23" s="2">
        <v>439.37400000000002</v>
      </c>
      <c r="L23" s="2">
        <v>2153.6880000000001</v>
      </c>
      <c r="M23" s="2">
        <v>1380</v>
      </c>
      <c r="N23" s="2">
        <v>1479.8671999999999</v>
      </c>
      <c r="O23" s="2">
        <v>618.65150000000006</v>
      </c>
      <c r="P23" s="2">
        <v>7000.0009</v>
      </c>
      <c r="Q23" s="2">
        <v>2800</v>
      </c>
      <c r="R23" s="2">
        <v>1505.0445999999999</v>
      </c>
    </row>
    <row r="24" spans="1:18" x14ac:dyDescent="0.25">
      <c r="A24" s="1">
        <v>45107</v>
      </c>
      <c r="B24" s="2">
        <v>3914.9155999999998</v>
      </c>
      <c r="C24" s="2">
        <v>840.18240000000003</v>
      </c>
      <c r="D24" s="2">
        <v>444.67380000000003</v>
      </c>
      <c r="E24" s="2">
        <v>442.67200000000003</v>
      </c>
      <c r="F24" s="2">
        <v>569</v>
      </c>
      <c r="G24" s="2">
        <v>875.46079999999995</v>
      </c>
      <c r="H24" s="2">
        <v>639.41340000000002</v>
      </c>
      <c r="I24" s="2">
        <v>612.71010000000001</v>
      </c>
      <c r="J24" s="2">
        <v>752.76110000000006</v>
      </c>
      <c r="K24" s="2">
        <v>439.37400000000002</v>
      </c>
      <c r="L24" s="2">
        <v>2153.6880000000001</v>
      </c>
      <c r="M24" s="2">
        <v>1359.6414</v>
      </c>
      <c r="N24" s="2">
        <v>1479.8671999999999</v>
      </c>
      <c r="O24" s="2">
        <v>619.63840000000005</v>
      </c>
      <c r="P24" s="2">
        <v>7000.0009</v>
      </c>
      <c r="Q24" s="2">
        <v>2800</v>
      </c>
      <c r="R24" s="2">
        <v>1505.0445999999999</v>
      </c>
    </row>
    <row r="25" spans="1:18" x14ac:dyDescent="0.25">
      <c r="A25" s="1">
        <v>45199</v>
      </c>
      <c r="B25" s="2">
        <v>3933.1279</v>
      </c>
      <c r="C25" s="2">
        <v>840.18240000000003</v>
      </c>
      <c r="D25" s="2">
        <v>444.67380000000003</v>
      </c>
      <c r="E25" s="2">
        <v>442.67200000000003</v>
      </c>
      <c r="F25" s="2">
        <v>569</v>
      </c>
      <c r="G25" s="2">
        <v>875.46079999999995</v>
      </c>
      <c r="H25" s="2">
        <v>639.41340000000002</v>
      </c>
      <c r="I25" s="2">
        <v>612.71010000000001</v>
      </c>
      <c r="J25" s="2">
        <v>752.76110000000006</v>
      </c>
      <c r="K25" s="2">
        <v>439.37400000000002</v>
      </c>
      <c r="L25" s="2">
        <v>2153.6880000000001</v>
      </c>
      <c r="M25" s="2">
        <v>1359.6414</v>
      </c>
      <c r="N25" s="2">
        <v>1479.8671999999999</v>
      </c>
      <c r="O25" s="2">
        <v>616.62390000000005</v>
      </c>
      <c r="P25" s="2">
        <v>7000.0009</v>
      </c>
      <c r="Q25" s="2">
        <v>2800</v>
      </c>
      <c r="R25" s="2">
        <v>1503.7445</v>
      </c>
    </row>
    <row r="26" spans="1:18" x14ac:dyDescent="0.25">
      <c r="A26" s="1">
        <v>45291</v>
      </c>
      <c r="B26" s="2">
        <v>3933.1279</v>
      </c>
      <c r="C26" s="2">
        <v>840.18240000000003</v>
      </c>
      <c r="D26" s="2">
        <v>444.67380000000003</v>
      </c>
      <c r="E26" s="2">
        <v>442.67200000000003</v>
      </c>
      <c r="F26" s="2">
        <v>569</v>
      </c>
      <c r="G26" s="2">
        <v>906.45510000000002</v>
      </c>
      <c r="H26" s="2">
        <v>639.41340000000002</v>
      </c>
      <c r="I26" s="2">
        <v>612.71010000000001</v>
      </c>
      <c r="J26" s="2">
        <v>752.76110000000006</v>
      </c>
      <c r="K26" s="2">
        <v>439.37389999999999</v>
      </c>
      <c r="L26" s="2">
        <v>2253.6880000000001</v>
      </c>
      <c r="M26" s="2">
        <v>1359.6414</v>
      </c>
      <c r="N26" s="2">
        <v>1479.8671999999999</v>
      </c>
      <c r="O26" s="2">
        <v>611.34810000000004</v>
      </c>
      <c r="P26" s="2">
        <v>7000.0002000000004</v>
      </c>
      <c r="Q26" s="2">
        <v>2800</v>
      </c>
      <c r="R26" s="2">
        <v>1502.6184000000001</v>
      </c>
    </row>
    <row r="27" spans="1:18" x14ac:dyDescent="0.25">
      <c r="A27" s="1">
        <v>45382</v>
      </c>
      <c r="B27" s="2">
        <v>3933.1279</v>
      </c>
      <c r="C27" s="2">
        <v>840.18240000000003</v>
      </c>
      <c r="D27" s="2">
        <v>444.67380000000003</v>
      </c>
      <c r="E27" s="2">
        <v>442.67200000000003</v>
      </c>
      <c r="F27" s="2">
        <v>569</v>
      </c>
      <c r="G27" s="2">
        <v>875.6028</v>
      </c>
      <c r="H27" s="2">
        <v>639.41300000000001</v>
      </c>
      <c r="I27" s="2">
        <v>612.71010000000001</v>
      </c>
      <c r="J27" s="2">
        <v>711.02679999999998</v>
      </c>
      <c r="K27" s="2">
        <v>439.37400000000002</v>
      </c>
      <c r="L27" s="2">
        <v>2153.6880000000001</v>
      </c>
      <c r="M27" s="2">
        <v>1359.6414</v>
      </c>
      <c r="N27" s="2">
        <v>1479.8671999999999</v>
      </c>
      <c r="O27" s="2">
        <v>611.48130000000003</v>
      </c>
      <c r="P27" s="2">
        <v>7000.0002000000004</v>
      </c>
      <c r="Q27" s="2">
        <v>2800</v>
      </c>
      <c r="R27" s="2">
        <v>1502.7446</v>
      </c>
    </row>
    <row r="28" spans="1:18" x14ac:dyDescent="0.25">
      <c r="A28" s="1">
        <v>45473</v>
      </c>
      <c r="B28" s="2">
        <v>3933.1279</v>
      </c>
      <c r="C28" s="2">
        <v>840.18240000000003</v>
      </c>
      <c r="D28" s="2">
        <v>444.67380000000003</v>
      </c>
      <c r="E28" s="2">
        <v>438.11900000000003</v>
      </c>
      <c r="F28" s="2">
        <v>569</v>
      </c>
      <c r="G28" s="2">
        <v>875.68230000000005</v>
      </c>
      <c r="H28" s="2">
        <v>639.41340000000002</v>
      </c>
      <c r="I28" s="2">
        <v>612.71010000000001</v>
      </c>
      <c r="J28" s="2">
        <v>752.76110000000006</v>
      </c>
      <c r="K28" s="2">
        <v>439.37400000000002</v>
      </c>
      <c r="L28" s="2">
        <v>2153.6880000000001</v>
      </c>
      <c r="M28" s="2">
        <v>1359.6414</v>
      </c>
      <c r="N28" s="2">
        <v>1479.8671999999999</v>
      </c>
      <c r="O28" s="2">
        <v>613.5915</v>
      </c>
      <c r="P28" s="2">
        <v>7000.0002000000004</v>
      </c>
      <c r="Q28" s="2">
        <v>2800</v>
      </c>
      <c r="R28" s="2">
        <v>1502.7446</v>
      </c>
    </row>
    <row r="29" spans="1:18" x14ac:dyDescent="0.25">
      <c r="A29" s="1">
        <v>45565</v>
      </c>
      <c r="B29" s="2">
        <v>3933.1279</v>
      </c>
      <c r="C29" s="2">
        <v>840.18240000000003</v>
      </c>
      <c r="D29" s="2">
        <v>444.67380000000003</v>
      </c>
      <c r="E29" s="2">
        <v>437.73099999999999</v>
      </c>
      <c r="F29" s="2">
        <v>569</v>
      </c>
      <c r="G29" s="2">
        <v>875.68230000000005</v>
      </c>
      <c r="H29" s="2">
        <v>639.41340000000002</v>
      </c>
      <c r="I29" s="2">
        <v>612.71010000000001</v>
      </c>
      <c r="J29" s="2">
        <v>752.76110000000006</v>
      </c>
      <c r="K29" s="2">
        <v>439.37400000000002</v>
      </c>
      <c r="L29" s="2">
        <v>2153.6880000000001</v>
      </c>
      <c r="M29" s="2">
        <v>1359.6414</v>
      </c>
      <c r="N29" s="2">
        <v>1479.8671999999999</v>
      </c>
      <c r="O29" s="2">
        <v>615.94129999999996</v>
      </c>
      <c r="P29" s="2">
        <v>7000.0002000000004</v>
      </c>
      <c r="Q29" s="2">
        <v>2800</v>
      </c>
      <c r="R29" s="2">
        <v>1502.6184000000001</v>
      </c>
    </row>
    <row r="30" spans="1:18" x14ac:dyDescent="0.25">
      <c r="A30" s="1">
        <v>45657</v>
      </c>
      <c r="B30" s="2">
        <v>3933.1279</v>
      </c>
      <c r="C30" s="2">
        <v>996.98699999999997</v>
      </c>
      <c r="D30" s="2">
        <v>444.67380000000003</v>
      </c>
      <c r="E30" s="2">
        <v>437.73099999999999</v>
      </c>
      <c r="F30" s="2">
        <v>569</v>
      </c>
      <c r="G30" s="2">
        <v>875.68230000000005</v>
      </c>
      <c r="H30" s="2">
        <v>639.41300000000001</v>
      </c>
      <c r="I30" s="2">
        <v>612.71010000000001</v>
      </c>
      <c r="J30" s="2">
        <v>752.76110000000006</v>
      </c>
      <c r="K30" s="2">
        <v>439.37389999999999</v>
      </c>
      <c r="L30" s="2">
        <v>2153.6880000000001</v>
      </c>
      <c r="M30" s="2">
        <v>1359.6414</v>
      </c>
      <c r="N30" s="2">
        <v>1611.8905</v>
      </c>
      <c r="O30" s="2">
        <v>620.57270000000005</v>
      </c>
      <c r="P30" s="2">
        <v>7000.0002000000004</v>
      </c>
      <c r="Q30" s="2">
        <v>2800</v>
      </c>
      <c r="R30" s="2">
        <v>1502.6184000000001</v>
      </c>
    </row>
    <row r="31" spans="1:18" x14ac:dyDescent="0.25">
      <c r="A31" s="1">
        <v>45747</v>
      </c>
      <c r="B31" s="2">
        <v>3933.1279</v>
      </c>
      <c r="C31" s="2">
        <v>999.73490000000004</v>
      </c>
      <c r="D31" s="2">
        <v>444.67380000000003</v>
      </c>
      <c r="E31" s="2">
        <v>437.73099999999999</v>
      </c>
      <c r="F31" s="2">
        <v>569</v>
      </c>
      <c r="G31" s="2">
        <v>875.68230000000005</v>
      </c>
      <c r="H31" s="2">
        <v>639.41300000000001</v>
      </c>
      <c r="I31" s="2">
        <v>612.71010000000001</v>
      </c>
      <c r="J31" s="2">
        <v>711.02679999999998</v>
      </c>
      <c r="K31" s="2">
        <v>439.37400000000002</v>
      </c>
      <c r="L31" s="2">
        <v>2153.6880000000001</v>
      </c>
      <c r="M31" s="2">
        <v>1364</v>
      </c>
      <c r="N31" s="2">
        <v>1606.2537</v>
      </c>
      <c r="O31" s="2">
        <v>622.53660000000002</v>
      </c>
      <c r="P31" s="2">
        <v>7000.0002000000004</v>
      </c>
      <c r="Q31" s="2">
        <v>2800</v>
      </c>
      <c r="R31" s="2">
        <v>1502.6184000000001</v>
      </c>
    </row>
    <row r="32" spans="1:18" x14ac:dyDescent="0.25">
      <c r="A32" s="1">
        <v>45838</v>
      </c>
      <c r="B32" s="2">
        <v>3933.1279</v>
      </c>
      <c r="C32" s="2">
        <v>996.98699999999997</v>
      </c>
      <c r="D32" s="2">
        <v>444.67380000000003</v>
      </c>
      <c r="E32" s="2">
        <v>437.73099999999999</v>
      </c>
      <c r="F32" s="2">
        <v>569</v>
      </c>
      <c r="G32" s="2">
        <v>875.68230000000005</v>
      </c>
      <c r="H32" s="2">
        <v>639.41300000000001</v>
      </c>
      <c r="I32" s="2">
        <v>612.71010000000001</v>
      </c>
      <c r="J32" s="2">
        <v>752.76110000000006</v>
      </c>
      <c r="K32" s="2">
        <v>439.37400000000002</v>
      </c>
      <c r="L32" s="2">
        <v>2153.6880000000001</v>
      </c>
      <c r="M32" s="2">
        <v>1364</v>
      </c>
      <c r="N32" s="2">
        <v>1606.2537</v>
      </c>
      <c r="O32" s="2">
        <v>729.80909999999994</v>
      </c>
      <c r="P32" s="2">
        <v>15710.1</v>
      </c>
      <c r="Q32" s="2">
        <v>2800</v>
      </c>
      <c r="R32" s="2">
        <v>1502.6184000000001</v>
      </c>
    </row>
    <row r="33" spans="1:18" x14ac:dyDescent="0.25">
      <c r="A33" s="1">
        <v>45930</v>
      </c>
      <c r="B33" s="2">
        <v>3933.1279</v>
      </c>
      <c r="C33" s="2">
        <v>996.98699999999997</v>
      </c>
      <c r="D33" s="2">
        <v>444.67380000000003</v>
      </c>
      <c r="E33" s="2">
        <v>437.73099999999999</v>
      </c>
      <c r="F33" s="2">
        <v>569</v>
      </c>
      <c r="G33" s="2">
        <v>875.68230000000005</v>
      </c>
      <c r="H33" s="2">
        <v>639.41300000000001</v>
      </c>
      <c r="I33" s="2">
        <v>612.71010000000001</v>
      </c>
      <c r="J33" s="2">
        <v>752.76110000000006</v>
      </c>
      <c r="K33" s="2">
        <v>439.37400000000002</v>
      </c>
      <c r="L33" s="2">
        <v>2153.6880000000001</v>
      </c>
      <c r="M33" s="2">
        <v>1364</v>
      </c>
      <c r="N33" s="2">
        <v>1606.2537</v>
      </c>
      <c r="O33" s="2">
        <v>650.10599999999999</v>
      </c>
      <c r="P33" s="2">
        <v>7000</v>
      </c>
      <c r="Q33" s="2">
        <v>2800</v>
      </c>
      <c r="R33" s="2">
        <v>1502.3784000000001</v>
      </c>
    </row>
    <row r="34" spans="1:18" x14ac:dyDescent="0.25">
      <c r="A34" s="1">
        <v>46022</v>
      </c>
      <c r="B34" s="2">
        <v>3933.1279</v>
      </c>
      <c r="C34" s="2">
        <v>1149.7349999999999</v>
      </c>
      <c r="D34" s="2">
        <v>444.67399999999998</v>
      </c>
      <c r="E34" s="2">
        <v>442.67180000000002</v>
      </c>
      <c r="F34" s="2">
        <v>569</v>
      </c>
      <c r="G34" s="2">
        <v>875.68230000000005</v>
      </c>
      <c r="H34" s="2">
        <v>639.41300000000001</v>
      </c>
      <c r="I34" s="2">
        <v>612.71010000000001</v>
      </c>
      <c r="J34" s="2">
        <v>668.61699999999996</v>
      </c>
      <c r="K34" s="2">
        <v>439.37389999999999</v>
      </c>
      <c r="L34" s="2">
        <v>2153.6880000000001</v>
      </c>
      <c r="M34" s="2">
        <v>1364</v>
      </c>
      <c r="N34" s="2">
        <v>1606.2537</v>
      </c>
      <c r="O34" s="2">
        <v>648.74239999999998</v>
      </c>
      <c r="P34" s="2">
        <v>7000</v>
      </c>
      <c r="Q34" s="2">
        <v>2800</v>
      </c>
      <c r="R34" s="2">
        <v>1499.8624</v>
      </c>
    </row>
    <row r="35" spans="1:18" x14ac:dyDescent="0.25">
      <c r="A35" s="1">
        <v>46112</v>
      </c>
      <c r="B35" s="2">
        <v>3933.1279</v>
      </c>
      <c r="C35" s="2">
        <v>1149.7348999999999</v>
      </c>
      <c r="D35" s="2">
        <v>444.67380000000003</v>
      </c>
      <c r="E35" s="2">
        <v>437.73099999999999</v>
      </c>
      <c r="F35" s="2">
        <v>569</v>
      </c>
      <c r="G35" s="2">
        <v>875.68230000000005</v>
      </c>
      <c r="H35" s="2">
        <v>639.39</v>
      </c>
      <c r="I35" s="2">
        <v>612.71010000000001</v>
      </c>
      <c r="J35" s="2">
        <v>711.02679999999998</v>
      </c>
      <c r="K35" s="2">
        <v>439.37400000000002</v>
      </c>
      <c r="L35" s="2">
        <v>2153.6880000000001</v>
      </c>
      <c r="M35" s="2">
        <v>1360</v>
      </c>
      <c r="N35" s="2">
        <v>1606.2537</v>
      </c>
      <c r="O35" s="2">
        <v>709.30830000000003</v>
      </c>
      <c r="P35" s="2">
        <v>7000</v>
      </c>
      <c r="Q35" s="2">
        <v>2800</v>
      </c>
      <c r="R35" s="2">
        <v>1499.8624</v>
      </c>
    </row>
    <row r="36" spans="1:18" x14ac:dyDescent="0.25">
      <c r="A36" s="1">
        <v>46203</v>
      </c>
      <c r="B36" s="2">
        <v>3933.1279</v>
      </c>
      <c r="C36" s="2">
        <v>1149.7349999999999</v>
      </c>
      <c r="D36" s="2">
        <v>444.67380000000003</v>
      </c>
      <c r="E36" s="2">
        <v>442.67180000000002</v>
      </c>
      <c r="F36" s="2">
        <v>569</v>
      </c>
      <c r="G36" s="2">
        <v>875.68230000000005</v>
      </c>
      <c r="H36" s="2">
        <v>639.39</v>
      </c>
      <c r="I36" s="2">
        <v>612.71010000000001</v>
      </c>
      <c r="J36" s="2">
        <v>668.61699999999996</v>
      </c>
      <c r="K36" s="2">
        <v>439.37400000000002</v>
      </c>
      <c r="L36" s="2">
        <v>2153.6880000000001</v>
      </c>
      <c r="M36" s="2">
        <v>1340</v>
      </c>
      <c r="N36" s="2">
        <v>1606.2537</v>
      </c>
      <c r="O36" s="2">
        <v>709.30830000000003</v>
      </c>
      <c r="P36" s="2">
        <v>7000</v>
      </c>
      <c r="Q36" s="2">
        <v>2800</v>
      </c>
      <c r="R36" s="2">
        <v>1499.8620000000001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8B4E-7099-41C2-9078-64AA6FC1F86E}">
  <dimension ref="A1:R36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_xll.BDH(B$1,"GROSS_MARGIN","2017-12-29","","Dir=V","Per=Q","Days=A","Dts=S","cols=2;rows=35")</f>
        <v>43100</v>
      </c>
      <c r="B2" s="2">
        <v>13.4786</v>
      </c>
      <c r="C2" s="2" t="str">
        <f>_xll.BDH(C$1,"GROSS_MARGIN","2017-12-29","","Dir=V","Per=Q","Days=A","Dts=H","cols=1;rows=35")</f>
        <v>#N/A N/A</v>
      </c>
      <c r="D2" s="2">
        <f>_xll.BDH(D$1,"GROSS_MARGIN","2017-12-29","","Dir=V","Per=Q","Days=A","Dts=H","cols=1;rows=35")</f>
        <v>52.921199999999999</v>
      </c>
      <c r="E2" s="2" t="str">
        <f>_xll.BDH(E$1,"GROSS_MARGIN","2017-12-29","","Dir=V","Per=Q","Days=A","Dts=H","cols=1;rows=35")</f>
        <v>#N/A N/A</v>
      </c>
      <c r="F2" s="2">
        <f>_xll.BDH(F$1,"GROSS_MARGIN","2017-12-29","","Dir=V","Per=Q","Days=A","Dts=H","cols=1;rows=35")</f>
        <v>22.013200000000001</v>
      </c>
      <c r="G2" s="2">
        <f>_xll.BDH(G$1,"GROSS_MARGIN","2017-12-29","","Dir=V","Per=Q","Days=A","Dts=H","cols=1;rows=35")</f>
        <v>47.415799999999997</v>
      </c>
      <c r="H2" s="2" t="str">
        <f>_xll.BDH(H$1,"GROSS_MARGIN","2017-12-29","","Dir=V","Per=Q","Days=A","Dts=H","cols=1;rows=35")</f>
        <v>#N/A N/A</v>
      </c>
      <c r="I2" s="2" t="str">
        <f>_xll.BDH(I$1,"GROSS_MARGIN","2017-12-29","","Dir=V","Per=Q","Days=A","Dts=H","cols=1;rows=35")</f>
        <v>#N/A N/A</v>
      </c>
      <c r="J2" s="2">
        <f>_xll.BDH(J$1,"GROSS_MARGIN","2017-12-29","","Dir=V","Per=Q","Days=A","Dts=H","cols=1;rows=35")</f>
        <v>35.379199999999997</v>
      </c>
      <c r="K2" s="2">
        <f>_xll.BDH(K$1,"GROSS_MARGIN","2017-12-29","","Dir=V","Per=Q","Days=A","Dts=H","cols=1;rows=35")</f>
        <v>25.8001</v>
      </c>
      <c r="L2" s="2">
        <f>_xll.BDH(L$1,"GROSS_MARGIN","2017-12-29","","Dir=V","Per=Q","Days=A","Dts=H","cols=1;rows=35")</f>
        <v>7.6157000000000004</v>
      </c>
      <c r="M2" s="2">
        <f>_xll.BDH(M$1,"GROSS_MARGIN","2017-12-29","","Dir=V","Per=Q","Days=A","Dts=H","cols=1;rows=35")</f>
        <v>24.259699999999999</v>
      </c>
      <c r="N2" s="2" t="str">
        <f>_xll.BDH(N$1,"GROSS_MARGIN","2017-12-29","","Dir=V","Per=Q","Days=A","Dts=H","cols=1;rows=35")</f>
        <v>#N/A N/A</v>
      </c>
      <c r="O2" s="2">
        <f>_xll.BDH(O$1,"GROSS_MARGIN","2017-12-29","","Dir=V","Per=Q","Days=A","Dts=H","cols=1;rows=35")</f>
        <v>30.6845</v>
      </c>
      <c r="P2" s="2">
        <f>_xll.BDH(P$1,"GROSS_MARGIN","2017-12-29","","Dir=V","Per=Q","Days=A","Dts=H","cols=1;rows=35")</f>
        <v>0.37840000000000001</v>
      </c>
      <c r="Q2" s="2">
        <f>_xll.BDH(Q$1,"GROSS_MARGIN","2017-12-29","","Dir=V","Per=Q","Days=A","Dts=H","cols=1;rows=35")</f>
        <v>18.578099999999999</v>
      </c>
      <c r="R2" s="2">
        <f>_xll.BDH(R$1,"GROSS_MARGIN","2017-12-29","","Dir=V","Per=Q","Days=A","Dts=H","cols=1;rows=35")</f>
        <v>42.242100000000001</v>
      </c>
    </row>
    <row r="3" spans="1:18" x14ac:dyDescent="0.25">
      <c r="A3" s="1">
        <v>43190</v>
      </c>
      <c r="B3" s="2">
        <v>16.334099999999999</v>
      </c>
      <c r="C3" s="2" t="s">
        <v>18</v>
      </c>
      <c r="D3" s="2">
        <v>63.9636</v>
      </c>
      <c r="E3" s="2" t="s">
        <v>18</v>
      </c>
      <c r="F3" s="2">
        <v>20.204499999999999</v>
      </c>
      <c r="G3" s="2">
        <v>49.853700000000003</v>
      </c>
      <c r="H3" s="2" t="s">
        <v>18</v>
      </c>
      <c r="I3" s="2" t="s">
        <v>18</v>
      </c>
      <c r="J3" s="2">
        <v>54.2453</v>
      </c>
      <c r="K3" s="2">
        <v>42.786900000000003</v>
      </c>
      <c r="L3" s="2">
        <v>94.624899999999997</v>
      </c>
      <c r="M3" s="2">
        <v>36.793799999999997</v>
      </c>
      <c r="N3" s="2" t="s">
        <v>18</v>
      </c>
      <c r="O3" s="2">
        <v>37.803899999999999</v>
      </c>
      <c r="P3" s="2">
        <v>7.4654999999999996</v>
      </c>
      <c r="Q3" s="2">
        <v>17.3064</v>
      </c>
      <c r="R3" s="2">
        <v>51.561700000000002</v>
      </c>
    </row>
    <row r="4" spans="1:18" x14ac:dyDescent="0.25">
      <c r="A4" s="1">
        <v>43281</v>
      </c>
      <c r="B4" s="2">
        <v>11.896699999999999</v>
      </c>
      <c r="C4" s="2" t="s">
        <v>18</v>
      </c>
      <c r="D4" s="2">
        <v>61.094700000000003</v>
      </c>
      <c r="E4" s="2" t="s">
        <v>18</v>
      </c>
      <c r="F4" s="2">
        <v>15.946999999999999</v>
      </c>
      <c r="G4" s="2">
        <v>42.958300000000001</v>
      </c>
      <c r="H4" s="2" t="s">
        <v>18</v>
      </c>
      <c r="I4" s="2" t="s">
        <v>18</v>
      </c>
      <c r="J4" s="2">
        <v>55.362000000000002</v>
      </c>
      <c r="K4" s="2">
        <v>62.452399999999997</v>
      </c>
      <c r="L4" s="2">
        <v>93.595600000000005</v>
      </c>
      <c r="M4" s="2">
        <v>30.267299999999999</v>
      </c>
      <c r="N4" s="2" t="s">
        <v>18</v>
      </c>
      <c r="O4" s="2">
        <v>33.738500000000002</v>
      </c>
      <c r="P4" s="2">
        <v>3.9348000000000001</v>
      </c>
      <c r="Q4" s="2">
        <v>25.917899999999999</v>
      </c>
      <c r="R4" s="2">
        <v>46.2913</v>
      </c>
    </row>
    <row r="5" spans="1:18" x14ac:dyDescent="0.25">
      <c r="A5" s="1">
        <v>43373</v>
      </c>
      <c r="B5" s="2">
        <v>20.79</v>
      </c>
      <c r="C5" s="2" t="s">
        <v>18</v>
      </c>
      <c r="D5" s="2">
        <v>58.4938</v>
      </c>
      <c r="E5" s="2" t="s">
        <v>18</v>
      </c>
      <c r="F5" s="2">
        <v>34.3249</v>
      </c>
      <c r="G5" s="2">
        <v>41.091200000000001</v>
      </c>
      <c r="H5" s="2" t="s">
        <v>18</v>
      </c>
      <c r="I5" s="2" t="s">
        <v>18</v>
      </c>
      <c r="J5" s="2">
        <v>52.879399999999997</v>
      </c>
      <c r="K5" s="2">
        <v>51.659700000000001</v>
      </c>
      <c r="L5" s="2">
        <v>96.617599999999996</v>
      </c>
      <c r="M5" s="2">
        <v>37.537599999999998</v>
      </c>
      <c r="N5" s="2" t="s">
        <v>18</v>
      </c>
      <c r="O5" s="2">
        <v>32.206699999999998</v>
      </c>
      <c r="P5" s="2">
        <v>-1.6934</v>
      </c>
      <c r="Q5" s="2">
        <v>24.470199999999998</v>
      </c>
      <c r="R5" s="2">
        <v>59.325200000000002</v>
      </c>
    </row>
    <row r="6" spans="1:18" x14ac:dyDescent="0.25">
      <c r="A6" s="1">
        <v>43465</v>
      </c>
      <c r="B6" s="2">
        <v>18.934699999999999</v>
      </c>
      <c r="C6" s="2" t="s">
        <v>18</v>
      </c>
      <c r="D6" s="2">
        <v>54.110599999999998</v>
      </c>
      <c r="E6" s="2" t="s">
        <v>18</v>
      </c>
      <c r="F6" s="2">
        <v>22.381699999999999</v>
      </c>
      <c r="G6" s="2">
        <v>38.8093</v>
      </c>
      <c r="H6" s="2" t="s">
        <v>18</v>
      </c>
      <c r="I6" s="2" t="s">
        <v>18</v>
      </c>
      <c r="J6" s="2">
        <v>49.267299999999999</v>
      </c>
      <c r="K6" s="2">
        <v>39.981999999999999</v>
      </c>
      <c r="L6" s="2">
        <v>96.528199999999998</v>
      </c>
      <c r="M6" s="2">
        <v>24.026199999999999</v>
      </c>
      <c r="N6" s="2" t="s">
        <v>18</v>
      </c>
      <c r="O6" s="2">
        <v>35.2911</v>
      </c>
      <c r="P6" s="2">
        <v>4.1272000000000002</v>
      </c>
      <c r="Q6" s="2">
        <v>24.695399999999999</v>
      </c>
      <c r="R6" s="2">
        <v>56.125700000000002</v>
      </c>
    </row>
    <row r="7" spans="1:18" x14ac:dyDescent="0.25">
      <c r="A7" s="1">
        <v>43555</v>
      </c>
      <c r="B7" s="2">
        <v>19.978300000000001</v>
      </c>
      <c r="C7" s="2" t="s">
        <v>18</v>
      </c>
      <c r="D7" s="2">
        <v>61.159799999999997</v>
      </c>
      <c r="E7" s="2" t="s">
        <v>18</v>
      </c>
      <c r="F7" s="2">
        <v>20.745100000000001</v>
      </c>
      <c r="G7" s="2">
        <v>34.352400000000003</v>
      </c>
      <c r="H7" s="2" t="s">
        <v>18</v>
      </c>
      <c r="I7" s="2" t="s">
        <v>18</v>
      </c>
      <c r="J7" s="2">
        <v>51.642400000000002</v>
      </c>
      <c r="K7" s="2">
        <v>37.6967</v>
      </c>
      <c r="L7" s="2">
        <v>95.077200000000005</v>
      </c>
      <c r="M7" s="2">
        <v>27.639199999999999</v>
      </c>
      <c r="N7" s="2" t="s">
        <v>18</v>
      </c>
      <c r="O7" s="2">
        <v>35.572400000000002</v>
      </c>
      <c r="P7" s="2">
        <v>6.6662999999999997</v>
      </c>
      <c r="Q7" s="2">
        <v>31.087399999999999</v>
      </c>
      <c r="R7" s="2">
        <v>41.454900000000002</v>
      </c>
    </row>
    <row r="8" spans="1:18" x14ac:dyDescent="0.25">
      <c r="A8" s="1">
        <v>43646</v>
      </c>
      <c r="B8" s="2">
        <v>16.290299999999998</v>
      </c>
      <c r="C8" s="2" t="s">
        <v>18</v>
      </c>
      <c r="D8" s="2">
        <v>57.0824</v>
      </c>
      <c r="E8" s="2" t="s">
        <v>18</v>
      </c>
      <c r="F8" s="2">
        <v>23.804099999999998</v>
      </c>
      <c r="G8" s="2">
        <v>43.958799999999997</v>
      </c>
      <c r="H8" s="2" t="s">
        <v>18</v>
      </c>
      <c r="I8" s="2" t="s">
        <v>18</v>
      </c>
      <c r="J8" s="2">
        <v>55.590600000000002</v>
      </c>
      <c r="K8" s="2">
        <v>44.822299999999998</v>
      </c>
      <c r="L8" s="2">
        <v>95.135099999999994</v>
      </c>
      <c r="M8" s="2">
        <v>30.844799999999999</v>
      </c>
      <c r="N8" s="2" t="s">
        <v>18</v>
      </c>
      <c r="O8" s="2">
        <v>29.305099999999999</v>
      </c>
      <c r="P8" s="2">
        <v>7.1372</v>
      </c>
      <c r="Q8" s="2">
        <v>6.8625999999999996</v>
      </c>
      <c r="R8" s="2">
        <v>43.668900000000001</v>
      </c>
    </row>
    <row r="9" spans="1:18" x14ac:dyDescent="0.25">
      <c r="A9" s="1">
        <v>43738</v>
      </c>
      <c r="B9" s="2">
        <v>17.0962</v>
      </c>
      <c r="C9" s="2" t="s">
        <v>18</v>
      </c>
      <c r="D9" s="2">
        <v>60.263399999999997</v>
      </c>
      <c r="E9" s="2" t="s">
        <v>18</v>
      </c>
      <c r="F9" s="2">
        <v>25.8337</v>
      </c>
      <c r="G9" s="2">
        <v>36.530900000000003</v>
      </c>
      <c r="H9" s="2" t="s">
        <v>18</v>
      </c>
      <c r="I9" s="2" t="s">
        <v>18</v>
      </c>
      <c r="J9" s="2">
        <v>44.874099999999999</v>
      </c>
      <c r="K9" s="2">
        <v>54.794600000000003</v>
      </c>
      <c r="L9" s="2">
        <v>96.719700000000003</v>
      </c>
      <c r="M9" s="2">
        <v>30.3659</v>
      </c>
      <c r="N9" s="2" t="s">
        <v>18</v>
      </c>
      <c r="O9" s="2">
        <v>30.5152</v>
      </c>
      <c r="P9" s="2">
        <v>8.3772000000000002</v>
      </c>
      <c r="Q9" s="2">
        <v>13.8931</v>
      </c>
      <c r="R9" s="2">
        <v>58.879800000000003</v>
      </c>
    </row>
    <row r="10" spans="1:18" x14ac:dyDescent="0.25">
      <c r="A10" s="1">
        <v>43830</v>
      </c>
      <c r="B10" s="2">
        <v>9.6013000000000002</v>
      </c>
      <c r="C10" s="2" t="s">
        <v>18</v>
      </c>
      <c r="D10" s="2">
        <v>57.3643</v>
      </c>
      <c r="E10" s="2" t="s">
        <v>18</v>
      </c>
      <c r="F10" s="2">
        <v>23.686599999999999</v>
      </c>
      <c r="G10" s="2">
        <v>35.2151</v>
      </c>
      <c r="H10" s="2" t="s">
        <v>18</v>
      </c>
      <c r="I10" s="2" t="s">
        <v>18</v>
      </c>
      <c r="J10" s="2">
        <v>47.223700000000001</v>
      </c>
      <c r="K10" s="2">
        <v>42.7423</v>
      </c>
      <c r="L10" s="2">
        <v>96.872799999999998</v>
      </c>
      <c r="M10" s="2">
        <v>22.357199999999999</v>
      </c>
      <c r="N10" s="2" t="s">
        <v>18</v>
      </c>
      <c r="O10" s="2">
        <v>37.0946</v>
      </c>
      <c r="P10" s="2">
        <v>7.3094999999999999</v>
      </c>
      <c r="Q10" s="2">
        <v>14.513400000000001</v>
      </c>
      <c r="R10" s="2">
        <v>45.924700000000001</v>
      </c>
    </row>
    <row r="11" spans="1:18" x14ac:dyDescent="0.25">
      <c r="A11" s="1">
        <v>43921</v>
      </c>
      <c r="B11" s="2">
        <v>16.463000000000001</v>
      </c>
      <c r="C11" s="2" t="s">
        <v>18</v>
      </c>
      <c r="D11" s="2">
        <v>51.2102</v>
      </c>
      <c r="E11" s="2" t="s">
        <v>18</v>
      </c>
      <c r="F11" s="2">
        <v>25.156700000000001</v>
      </c>
      <c r="G11" s="2">
        <v>37.6128</v>
      </c>
      <c r="H11" s="2" t="s">
        <v>18</v>
      </c>
      <c r="I11" s="2" t="s">
        <v>18</v>
      </c>
      <c r="J11" s="2">
        <v>51.4315</v>
      </c>
      <c r="K11" s="2">
        <v>45.684699999999999</v>
      </c>
      <c r="L11" s="2">
        <v>96.414599999999993</v>
      </c>
      <c r="M11" s="2">
        <v>38.118200000000002</v>
      </c>
      <c r="N11" s="2" t="s">
        <v>18</v>
      </c>
      <c r="O11" s="2">
        <v>65.643100000000004</v>
      </c>
      <c r="P11" s="2">
        <v>8.3620000000000001</v>
      </c>
      <c r="Q11" s="2">
        <v>21.062799999999999</v>
      </c>
      <c r="R11" s="2">
        <v>58.546399999999998</v>
      </c>
    </row>
    <row r="12" spans="1:18" x14ac:dyDescent="0.25">
      <c r="A12" s="1">
        <v>44012</v>
      </c>
      <c r="B12" s="2">
        <v>-9.9313000000000002</v>
      </c>
      <c r="C12" s="2" t="s">
        <v>18</v>
      </c>
      <c r="D12" s="2">
        <v>52.7881</v>
      </c>
      <c r="E12" s="2" t="s">
        <v>18</v>
      </c>
      <c r="F12" s="2">
        <v>11.6722</v>
      </c>
      <c r="G12" s="2">
        <v>34.192100000000003</v>
      </c>
      <c r="H12" s="2" t="s">
        <v>18</v>
      </c>
      <c r="I12" s="2" t="s">
        <v>18</v>
      </c>
      <c r="J12" s="2">
        <v>51.271700000000003</v>
      </c>
      <c r="K12" s="2">
        <v>46.433700000000002</v>
      </c>
      <c r="L12" s="2">
        <v>96.882199999999997</v>
      </c>
      <c r="M12" s="2">
        <v>35.203299999999999</v>
      </c>
      <c r="N12" s="2" t="s">
        <v>18</v>
      </c>
      <c r="O12" s="2">
        <v>21.4877</v>
      </c>
      <c r="P12" s="2">
        <v>6.1703999999999999</v>
      </c>
      <c r="Q12" s="2">
        <v>7.1078999999999999</v>
      </c>
      <c r="R12" s="2">
        <v>53.013100000000001</v>
      </c>
    </row>
    <row r="13" spans="1:18" x14ac:dyDescent="0.25">
      <c r="A13" s="1">
        <v>44104</v>
      </c>
      <c r="B13" s="2">
        <v>6.4166999999999996</v>
      </c>
      <c r="C13" s="2" t="s">
        <v>18</v>
      </c>
      <c r="D13" s="2">
        <v>52.358499999999999</v>
      </c>
      <c r="E13" s="2" t="s">
        <v>18</v>
      </c>
      <c r="F13" s="2">
        <v>24.6343</v>
      </c>
      <c r="G13" s="2">
        <v>37.887900000000002</v>
      </c>
      <c r="H13" s="2" t="s">
        <v>18</v>
      </c>
      <c r="I13" s="2" t="s">
        <v>18</v>
      </c>
      <c r="J13" s="2">
        <v>49.3309</v>
      </c>
      <c r="K13" s="2">
        <v>33.738100000000003</v>
      </c>
      <c r="L13" s="2">
        <v>96.268699999999995</v>
      </c>
      <c r="M13" s="2">
        <v>43.946100000000001</v>
      </c>
      <c r="N13" s="2" t="s">
        <v>18</v>
      </c>
      <c r="O13" s="2">
        <v>15.9711</v>
      </c>
      <c r="P13" s="2">
        <v>16.386199999999999</v>
      </c>
      <c r="Q13" s="2">
        <v>11.122199999999999</v>
      </c>
      <c r="R13" s="2">
        <v>60.163800000000002</v>
      </c>
    </row>
    <row r="14" spans="1:18" x14ac:dyDescent="0.25">
      <c r="A14" s="1">
        <v>44196</v>
      </c>
      <c r="B14" s="2">
        <v>8.7212999999999994</v>
      </c>
      <c r="C14" s="2" t="s">
        <v>18</v>
      </c>
      <c r="D14" s="2">
        <v>42.775500000000001</v>
      </c>
      <c r="E14" s="2" t="s">
        <v>18</v>
      </c>
      <c r="F14" s="2">
        <v>19.682300000000001</v>
      </c>
      <c r="G14" s="2">
        <v>36.199800000000003</v>
      </c>
      <c r="H14" s="2" t="s">
        <v>18</v>
      </c>
      <c r="I14" s="2" t="s">
        <v>18</v>
      </c>
      <c r="J14" s="2">
        <v>50.630200000000002</v>
      </c>
      <c r="K14" s="2">
        <v>22.906300000000002</v>
      </c>
      <c r="L14" s="2">
        <v>95.677899999999994</v>
      </c>
      <c r="M14" s="2">
        <v>37.328000000000003</v>
      </c>
      <c r="N14" s="2" t="s">
        <v>18</v>
      </c>
      <c r="O14" s="2">
        <v>32.043599999999998</v>
      </c>
      <c r="P14" s="2">
        <v>17.659400000000002</v>
      </c>
      <c r="Q14" s="2">
        <v>13.904299999999999</v>
      </c>
      <c r="R14" s="2">
        <v>52.4694</v>
      </c>
    </row>
    <row r="15" spans="1:18" x14ac:dyDescent="0.25">
      <c r="A15" s="1">
        <v>44286</v>
      </c>
      <c r="B15" s="2">
        <v>15.479200000000001</v>
      </c>
      <c r="C15" s="2" t="s">
        <v>18</v>
      </c>
      <c r="D15" s="2">
        <v>36.363199999999999</v>
      </c>
      <c r="E15" s="2" t="s">
        <v>18</v>
      </c>
      <c r="F15" s="2">
        <v>10.782</v>
      </c>
      <c r="G15" s="2">
        <v>39.3658</v>
      </c>
      <c r="H15" s="2" t="s">
        <v>18</v>
      </c>
      <c r="I15" s="2" t="s">
        <v>18</v>
      </c>
      <c r="J15" s="2">
        <v>58.118600000000001</v>
      </c>
      <c r="K15" s="2">
        <v>7.2496</v>
      </c>
      <c r="L15" s="2">
        <v>95.2607</v>
      </c>
      <c r="M15" s="2">
        <v>42.891599999999997</v>
      </c>
      <c r="N15" s="2" t="s">
        <v>18</v>
      </c>
      <c r="O15" s="2">
        <v>29.888000000000002</v>
      </c>
      <c r="P15" s="2">
        <v>18.733499999999999</v>
      </c>
      <c r="Q15" s="2">
        <v>28.857500000000002</v>
      </c>
      <c r="R15" s="2">
        <v>48.929699999999997</v>
      </c>
    </row>
    <row r="16" spans="1:18" x14ac:dyDescent="0.25">
      <c r="A16" s="1">
        <v>44377</v>
      </c>
      <c r="B16" s="2">
        <v>21.189800000000002</v>
      </c>
      <c r="C16" s="2" t="s">
        <v>18</v>
      </c>
      <c r="D16" s="2">
        <v>24.585699999999999</v>
      </c>
      <c r="E16" s="2" t="s">
        <v>18</v>
      </c>
      <c r="F16" s="2">
        <v>18.642600000000002</v>
      </c>
      <c r="G16" s="2">
        <v>35.298200000000001</v>
      </c>
      <c r="H16" s="2" t="s">
        <v>18</v>
      </c>
      <c r="I16" s="2" t="s">
        <v>18</v>
      </c>
      <c r="J16" s="2">
        <v>43.197000000000003</v>
      </c>
      <c r="K16" s="2">
        <v>11.385999999999999</v>
      </c>
      <c r="L16" s="2">
        <v>94.480400000000003</v>
      </c>
      <c r="M16" s="2">
        <v>41.705599999999997</v>
      </c>
      <c r="N16" s="2" t="s">
        <v>18</v>
      </c>
      <c r="O16" s="2">
        <v>13.228999999999999</v>
      </c>
      <c r="P16" s="2">
        <v>17.909300000000002</v>
      </c>
      <c r="Q16" s="2">
        <v>23.142299999999999</v>
      </c>
      <c r="R16" s="2">
        <v>45.146999999999998</v>
      </c>
    </row>
    <row r="17" spans="1:18" x14ac:dyDescent="0.25">
      <c r="A17" s="1">
        <v>44469</v>
      </c>
      <c r="B17" s="2">
        <v>22.1191</v>
      </c>
      <c r="C17" s="2" t="s">
        <v>18</v>
      </c>
      <c r="D17" s="2">
        <v>24.090599999999998</v>
      </c>
      <c r="E17" s="2" t="s">
        <v>18</v>
      </c>
      <c r="F17" s="2">
        <v>24.543800000000001</v>
      </c>
      <c r="G17" s="2">
        <v>41.727499999999999</v>
      </c>
      <c r="H17" s="2" t="s">
        <v>18</v>
      </c>
      <c r="I17" s="2" t="s">
        <v>18</v>
      </c>
      <c r="J17" s="2">
        <v>37.5379</v>
      </c>
      <c r="K17" s="2">
        <v>-9.1682000000000006</v>
      </c>
      <c r="L17" s="2">
        <v>95.142899999999997</v>
      </c>
      <c r="M17" s="2">
        <v>35.787300000000002</v>
      </c>
      <c r="N17" s="2" t="s">
        <v>18</v>
      </c>
      <c r="O17" s="2">
        <v>21.611499999999999</v>
      </c>
      <c r="P17" s="2">
        <v>18.773299999999999</v>
      </c>
      <c r="Q17" s="2">
        <v>33.398600000000002</v>
      </c>
      <c r="R17" s="2">
        <v>47.845999999999997</v>
      </c>
    </row>
    <row r="18" spans="1:18" x14ac:dyDescent="0.25">
      <c r="A18" s="1">
        <v>44561</v>
      </c>
      <c r="B18" s="2">
        <v>19.595800000000001</v>
      </c>
      <c r="C18" s="2" t="s">
        <v>18</v>
      </c>
      <c r="D18" s="2">
        <v>14.800700000000001</v>
      </c>
      <c r="E18" s="2" t="s">
        <v>18</v>
      </c>
      <c r="F18" s="2">
        <v>22.990400000000001</v>
      </c>
      <c r="G18" s="2">
        <v>37.686300000000003</v>
      </c>
      <c r="H18" s="2" t="s">
        <v>18</v>
      </c>
      <c r="I18" s="2" t="s">
        <v>18</v>
      </c>
      <c r="J18" s="2">
        <v>46.075299999999999</v>
      </c>
      <c r="K18" s="2">
        <v>-14.3604</v>
      </c>
      <c r="L18" s="2">
        <v>99.067599999999999</v>
      </c>
      <c r="M18" s="2">
        <v>29.855</v>
      </c>
      <c r="N18" s="2" t="s">
        <v>18</v>
      </c>
      <c r="O18" s="2">
        <v>36.925899999999999</v>
      </c>
      <c r="P18" s="2">
        <v>17.304099999999998</v>
      </c>
      <c r="Q18" s="2">
        <v>32.687899999999999</v>
      </c>
      <c r="R18" s="2">
        <v>50.250900000000001</v>
      </c>
    </row>
    <row r="19" spans="1:18" x14ac:dyDescent="0.25">
      <c r="A19" s="1">
        <v>44651</v>
      </c>
      <c r="B19" s="2">
        <v>21.904599999999999</v>
      </c>
      <c r="C19" s="2" t="s">
        <v>18</v>
      </c>
      <c r="D19" s="2">
        <v>13.998200000000001</v>
      </c>
      <c r="E19" s="2" t="s">
        <v>18</v>
      </c>
      <c r="F19" s="2">
        <v>20.871700000000001</v>
      </c>
      <c r="G19" s="2">
        <v>40.859000000000002</v>
      </c>
      <c r="H19" s="2" t="s">
        <v>18</v>
      </c>
      <c r="I19" s="2" t="s">
        <v>18</v>
      </c>
      <c r="J19" s="2">
        <v>51.501199999999997</v>
      </c>
      <c r="K19" s="2">
        <v>9.6</v>
      </c>
      <c r="L19" s="2">
        <v>94.878799999999998</v>
      </c>
      <c r="M19" s="2">
        <v>40.369500000000002</v>
      </c>
      <c r="N19" s="2" t="s">
        <v>18</v>
      </c>
      <c r="O19" s="2">
        <v>30.413699999999999</v>
      </c>
      <c r="P19" s="2">
        <v>17.825600000000001</v>
      </c>
      <c r="Q19" s="2">
        <v>27.348500000000001</v>
      </c>
      <c r="R19" s="2">
        <v>55.753500000000003</v>
      </c>
    </row>
    <row r="20" spans="1:18" x14ac:dyDescent="0.25">
      <c r="A20" s="1">
        <v>44742</v>
      </c>
      <c r="B20" s="2">
        <v>31.099599999999999</v>
      </c>
      <c r="C20" s="2" t="s">
        <v>18</v>
      </c>
      <c r="D20" s="2">
        <v>37.351999999999997</v>
      </c>
      <c r="E20" s="2" t="s">
        <v>18</v>
      </c>
      <c r="F20" s="2">
        <v>25.709099999999999</v>
      </c>
      <c r="G20" s="2">
        <v>26.2089</v>
      </c>
      <c r="H20" s="2" t="s">
        <v>18</v>
      </c>
      <c r="I20" s="2" t="s">
        <v>18</v>
      </c>
      <c r="J20" s="2">
        <v>42.930399999999999</v>
      </c>
      <c r="K20" s="2">
        <v>8.2685999999999993</v>
      </c>
      <c r="L20" s="2">
        <v>95.740300000000005</v>
      </c>
      <c r="M20" s="2">
        <v>37.577500000000001</v>
      </c>
      <c r="N20" s="2" t="s">
        <v>18</v>
      </c>
      <c r="O20" s="2">
        <v>24.503499999999999</v>
      </c>
      <c r="P20" s="2">
        <v>17.041</v>
      </c>
      <c r="Q20" s="2">
        <v>31.767199999999999</v>
      </c>
      <c r="R20" s="2">
        <v>45.215600000000002</v>
      </c>
    </row>
    <row r="21" spans="1:18" x14ac:dyDescent="0.25">
      <c r="A21" s="1">
        <v>44834</v>
      </c>
      <c r="B21" s="2">
        <v>28.982900000000001</v>
      </c>
      <c r="C21" s="2" t="s">
        <v>18</v>
      </c>
      <c r="D21" s="2">
        <v>15.166600000000001</v>
      </c>
      <c r="E21" s="2" t="s">
        <v>18</v>
      </c>
      <c r="F21" s="2">
        <v>22.755099999999999</v>
      </c>
      <c r="G21" s="2">
        <v>31.040600000000001</v>
      </c>
      <c r="H21" s="2" t="s">
        <v>18</v>
      </c>
      <c r="I21" s="2" t="s">
        <v>18</v>
      </c>
      <c r="J21" s="2">
        <v>34.420200000000001</v>
      </c>
      <c r="K21" s="2">
        <v>1.0177</v>
      </c>
      <c r="L21" s="2">
        <v>95.476600000000005</v>
      </c>
      <c r="M21" s="2">
        <v>37.106499999999997</v>
      </c>
      <c r="N21" s="2" t="s">
        <v>18</v>
      </c>
      <c r="O21" s="2">
        <v>36.024099999999997</v>
      </c>
      <c r="P21" s="2">
        <v>15.8681</v>
      </c>
      <c r="Q21" s="2">
        <v>19.3888</v>
      </c>
      <c r="R21" s="2">
        <v>45.393599999999999</v>
      </c>
    </row>
    <row r="22" spans="1:18" x14ac:dyDescent="0.25">
      <c r="A22" s="1">
        <v>44926</v>
      </c>
      <c r="B22" s="2">
        <v>18.549299999999999</v>
      </c>
      <c r="C22" s="2" t="s">
        <v>18</v>
      </c>
      <c r="D22" s="2">
        <v>5.3284000000000002</v>
      </c>
      <c r="E22" s="2" t="s">
        <v>18</v>
      </c>
      <c r="F22" s="2">
        <v>24.349599999999999</v>
      </c>
      <c r="G22" s="2">
        <v>29.830100000000002</v>
      </c>
      <c r="H22" s="2" t="s">
        <v>18</v>
      </c>
      <c r="I22" s="2" t="s">
        <v>18</v>
      </c>
      <c r="J22" s="2">
        <v>39.586199999999998</v>
      </c>
      <c r="K22" s="2">
        <v>-1.7567999999999999</v>
      </c>
      <c r="L22" s="2">
        <v>95.146299999999997</v>
      </c>
      <c r="M22" s="2">
        <v>38.905700000000003</v>
      </c>
      <c r="N22" s="2" t="s">
        <v>18</v>
      </c>
      <c r="O22" s="2">
        <v>46.7286</v>
      </c>
      <c r="P22" s="2">
        <v>17.446100000000001</v>
      </c>
      <c r="Q22" s="2">
        <v>20.251300000000001</v>
      </c>
      <c r="R22" s="2">
        <v>45.6571</v>
      </c>
    </row>
    <row r="23" spans="1:18" x14ac:dyDescent="0.25">
      <c r="A23" s="1">
        <v>45016</v>
      </c>
      <c r="B23" s="2">
        <v>21.187799999999999</v>
      </c>
      <c r="C23" s="2" t="s">
        <v>18</v>
      </c>
      <c r="D23" s="2">
        <v>48.698500000000003</v>
      </c>
      <c r="E23" s="2" t="s">
        <v>18</v>
      </c>
      <c r="F23" s="2">
        <v>11.2913</v>
      </c>
      <c r="G23" s="2">
        <v>27.777000000000001</v>
      </c>
      <c r="H23" s="2" t="s">
        <v>18</v>
      </c>
      <c r="I23" s="2" t="s">
        <v>18</v>
      </c>
      <c r="J23" s="2">
        <v>41.198</v>
      </c>
      <c r="K23" s="2">
        <v>24.314299999999999</v>
      </c>
      <c r="L23" s="2">
        <v>95.359800000000007</v>
      </c>
      <c r="M23" s="2">
        <v>39.774799999999999</v>
      </c>
      <c r="N23" s="2" t="s">
        <v>18</v>
      </c>
      <c r="O23" s="2">
        <v>38.999400000000001</v>
      </c>
      <c r="P23" s="2">
        <v>18.6997</v>
      </c>
      <c r="Q23" s="2">
        <v>15.503</v>
      </c>
      <c r="R23" s="2">
        <v>38.728299999999997</v>
      </c>
    </row>
    <row r="24" spans="1:18" x14ac:dyDescent="0.25">
      <c r="A24" s="1">
        <v>45107</v>
      </c>
      <c r="B24" s="2">
        <v>18.168399999999998</v>
      </c>
      <c r="C24" s="2" t="s">
        <v>18</v>
      </c>
      <c r="D24" s="2">
        <v>33.986499999999999</v>
      </c>
      <c r="E24" s="2" t="s">
        <v>18</v>
      </c>
      <c r="F24" s="2">
        <v>27.681899999999999</v>
      </c>
      <c r="G24" s="2">
        <v>32.819600000000001</v>
      </c>
      <c r="H24" s="2" t="s">
        <v>18</v>
      </c>
      <c r="I24" s="2" t="s">
        <v>18</v>
      </c>
      <c r="J24" s="2">
        <v>37.272399999999998</v>
      </c>
      <c r="K24" s="2">
        <v>27.130800000000001</v>
      </c>
      <c r="L24" s="2">
        <v>93.744699999999995</v>
      </c>
      <c r="M24" s="2">
        <v>38.915700000000001</v>
      </c>
      <c r="N24" s="2" t="s">
        <v>18</v>
      </c>
      <c r="O24" s="2">
        <v>37.644100000000002</v>
      </c>
      <c r="P24" s="2">
        <v>10.541600000000001</v>
      </c>
      <c r="Q24" s="2">
        <v>17.0686</v>
      </c>
      <c r="R24" s="2">
        <v>23.0915</v>
      </c>
    </row>
    <row r="25" spans="1:18" x14ac:dyDescent="0.25">
      <c r="A25" s="1">
        <v>45199</v>
      </c>
      <c r="B25" s="2">
        <v>15.1221</v>
      </c>
      <c r="C25" s="2" t="s">
        <v>18</v>
      </c>
      <c r="D25" s="2">
        <v>23.929200000000002</v>
      </c>
      <c r="E25" s="2" t="s">
        <v>18</v>
      </c>
      <c r="F25" s="2">
        <v>26.267099999999999</v>
      </c>
      <c r="G25" s="2">
        <v>40.3705</v>
      </c>
      <c r="H25" s="2" t="s">
        <v>18</v>
      </c>
      <c r="I25" s="2" t="s">
        <v>18</v>
      </c>
      <c r="J25" s="2">
        <v>34.070999999999998</v>
      </c>
      <c r="K25" s="2">
        <v>4.3872</v>
      </c>
      <c r="L25" s="2">
        <v>94.946399999999997</v>
      </c>
      <c r="M25" s="2">
        <v>39.742400000000004</v>
      </c>
      <c r="N25" s="2" t="s">
        <v>18</v>
      </c>
      <c r="O25" s="2">
        <v>37.840899999999998</v>
      </c>
      <c r="P25" s="2">
        <v>14.6631</v>
      </c>
      <c r="Q25" s="2">
        <v>23.134399999999999</v>
      </c>
      <c r="R25" s="2">
        <v>32.592799999999997</v>
      </c>
    </row>
    <row r="26" spans="1:18" x14ac:dyDescent="0.25">
      <c r="A26" s="1">
        <v>45291</v>
      </c>
      <c r="B26" s="2">
        <v>17.370899999999999</v>
      </c>
      <c r="C26" s="2" t="s">
        <v>18</v>
      </c>
      <c r="D26" s="2">
        <v>-18.9663</v>
      </c>
      <c r="E26" s="2" t="s">
        <v>18</v>
      </c>
      <c r="F26" s="2">
        <v>27.5519</v>
      </c>
      <c r="G26" s="2">
        <v>36.225499999999997</v>
      </c>
      <c r="H26" s="2" t="s">
        <v>18</v>
      </c>
      <c r="I26" s="2" t="s">
        <v>18</v>
      </c>
      <c r="J26" s="2">
        <v>35.987400000000001</v>
      </c>
      <c r="K26" s="2">
        <v>-43.298499999999997</v>
      </c>
      <c r="L26" s="2">
        <v>94.385800000000003</v>
      </c>
      <c r="M26" s="2">
        <v>33.938400000000001</v>
      </c>
      <c r="N26" s="2" t="s">
        <v>18</v>
      </c>
      <c r="O26" s="2">
        <v>48.776000000000003</v>
      </c>
      <c r="P26" s="2">
        <v>16.3338</v>
      </c>
      <c r="Q26" s="2">
        <v>12.7804</v>
      </c>
      <c r="R26" s="2">
        <v>36.828400000000002</v>
      </c>
    </row>
    <row r="27" spans="1:18" x14ac:dyDescent="0.25">
      <c r="A27" s="1">
        <v>45382</v>
      </c>
      <c r="B27" s="2">
        <v>29.953600000000002</v>
      </c>
      <c r="C27" s="2" t="s">
        <v>18</v>
      </c>
      <c r="D27" s="2">
        <v>32.207299999999996</v>
      </c>
      <c r="E27" s="2" t="s">
        <v>18</v>
      </c>
      <c r="F27" s="2">
        <v>13.792299999999999</v>
      </c>
      <c r="G27" s="2">
        <v>41.910299999999999</v>
      </c>
      <c r="H27" s="2" t="s">
        <v>18</v>
      </c>
      <c r="I27" s="2" t="s">
        <v>18</v>
      </c>
      <c r="J27" s="2">
        <v>47.022199999999998</v>
      </c>
      <c r="K27" s="2">
        <v>-6.6607000000000003</v>
      </c>
      <c r="L27" s="2">
        <v>96.511700000000005</v>
      </c>
      <c r="M27" s="2">
        <v>36.218600000000002</v>
      </c>
      <c r="N27" s="2" t="s">
        <v>18</v>
      </c>
      <c r="O27" s="2">
        <v>44.819000000000003</v>
      </c>
      <c r="P27" s="2">
        <v>11.872400000000001</v>
      </c>
      <c r="Q27" s="2">
        <v>25.878799999999998</v>
      </c>
      <c r="R27" s="2">
        <v>43.419600000000003</v>
      </c>
    </row>
    <row r="28" spans="1:18" x14ac:dyDescent="0.25">
      <c r="A28" s="1">
        <v>45473</v>
      </c>
      <c r="B28" s="2">
        <v>29.949300000000001</v>
      </c>
      <c r="C28" s="2" t="s">
        <v>18</v>
      </c>
      <c r="D28" s="2">
        <v>36.844099999999997</v>
      </c>
      <c r="E28" s="2" t="s">
        <v>18</v>
      </c>
      <c r="F28" s="2">
        <v>33.668500000000002</v>
      </c>
      <c r="G28" s="2">
        <v>49.704700000000003</v>
      </c>
      <c r="H28" s="2" t="s">
        <v>18</v>
      </c>
      <c r="I28" s="2" t="s">
        <v>18</v>
      </c>
      <c r="J28" s="2">
        <v>57.530299999999997</v>
      </c>
      <c r="K28" s="2">
        <v>62.265500000000003</v>
      </c>
      <c r="L28" s="2">
        <v>94.677999999999997</v>
      </c>
      <c r="M28" s="2">
        <v>39.014899999999997</v>
      </c>
      <c r="N28" s="2" t="s">
        <v>18</v>
      </c>
      <c r="O28" s="2">
        <v>31.4328</v>
      </c>
      <c r="P28" s="2">
        <v>8.3409999999999993</v>
      </c>
      <c r="Q28" s="2">
        <v>15.258599999999999</v>
      </c>
      <c r="R28" s="2">
        <v>38.665900000000001</v>
      </c>
    </row>
    <row r="29" spans="1:18" x14ac:dyDescent="0.25">
      <c r="A29" s="1">
        <v>45565</v>
      </c>
      <c r="B29" s="2">
        <v>30.564499999999999</v>
      </c>
      <c r="C29" s="2" t="s">
        <v>18</v>
      </c>
      <c r="D29" s="2">
        <v>43.627000000000002</v>
      </c>
      <c r="E29" s="2" t="s">
        <v>18</v>
      </c>
      <c r="F29" s="2">
        <v>37.941899999999997</v>
      </c>
      <c r="G29" s="2">
        <v>37.980699999999999</v>
      </c>
      <c r="H29" s="2" t="s">
        <v>18</v>
      </c>
      <c r="I29" s="2" t="s">
        <v>18</v>
      </c>
      <c r="J29" s="2">
        <v>50.830300000000001</v>
      </c>
      <c r="K29" s="2">
        <v>58.3917</v>
      </c>
      <c r="L29" s="2">
        <v>95.019400000000005</v>
      </c>
      <c r="M29" s="2">
        <v>32.585299999999997</v>
      </c>
      <c r="N29" s="2" t="s">
        <v>18</v>
      </c>
      <c r="O29" s="2">
        <v>32.211199999999998</v>
      </c>
      <c r="P29" s="2">
        <v>7.577</v>
      </c>
      <c r="Q29" s="2">
        <v>18.813300000000002</v>
      </c>
      <c r="R29" s="2">
        <v>40.252899999999997</v>
      </c>
    </row>
    <row r="30" spans="1:18" x14ac:dyDescent="0.25">
      <c r="A30" s="1">
        <v>45657</v>
      </c>
      <c r="B30" s="2">
        <v>20.943000000000001</v>
      </c>
      <c r="C30" s="2" t="s">
        <v>18</v>
      </c>
      <c r="D30" s="2">
        <v>42.889699999999998</v>
      </c>
      <c r="E30" s="2" t="s">
        <v>18</v>
      </c>
      <c r="F30" s="2">
        <v>34.819600000000001</v>
      </c>
      <c r="G30" s="2">
        <v>42.564300000000003</v>
      </c>
      <c r="H30" s="2" t="s">
        <v>18</v>
      </c>
      <c r="I30" s="2" t="s">
        <v>18</v>
      </c>
      <c r="J30" s="2">
        <v>54.303400000000003</v>
      </c>
      <c r="K30" s="2">
        <v>49.266500000000001</v>
      </c>
      <c r="L30" s="2">
        <v>94.919499999999999</v>
      </c>
      <c r="M30" s="2">
        <v>20.299399999999999</v>
      </c>
      <c r="N30" s="2" t="s">
        <v>18</v>
      </c>
      <c r="O30" s="2">
        <v>40.321100000000001</v>
      </c>
      <c r="P30" s="2">
        <v>6.0688000000000004</v>
      </c>
      <c r="Q30" s="2">
        <v>13.3034</v>
      </c>
      <c r="R30" s="2">
        <v>36.433399999999999</v>
      </c>
    </row>
    <row r="31" spans="1:18" x14ac:dyDescent="0.25">
      <c r="A31" s="1">
        <v>45747</v>
      </c>
      <c r="B31" s="2">
        <v>27.7561</v>
      </c>
      <c r="C31" s="2" t="s">
        <v>18</v>
      </c>
      <c r="D31" s="2">
        <v>48.031399999999998</v>
      </c>
      <c r="E31" s="2" t="s">
        <v>18</v>
      </c>
      <c r="F31" s="2">
        <v>36.258899999999997</v>
      </c>
      <c r="G31" s="2">
        <v>40.4602</v>
      </c>
      <c r="H31" s="2" t="s">
        <v>18</v>
      </c>
      <c r="I31" s="2" t="s">
        <v>18</v>
      </c>
      <c r="J31" s="2">
        <v>57.545699999999997</v>
      </c>
      <c r="K31" s="2">
        <v>68.656000000000006</v>
      </c>
      <c r="L31" s="2">
        <v>95.791700000000006</v>
      </c>
      <c r="M31" s="2">
        <v>31.159400000000002</v>
      </c>
      <c r="N31" s="2" t="s">
        <v>18</v>
      </c>
      <c r="O31" s="2">
        <v>41.097099999999998</v>
      </c>
      <c r="P31" s="2">
        <v>8.3226999999999993</v>
      </c>
      <c r="Q31" s="2">
        <v>18.5091</v>
      </c>
      <c r="R31" s="2">
        <v>43.508299999999998</v>
      </c>
    </row>
    <row r="32" spans="1:18" x14ac:dyDescent="0.25">
      <c r="A32" s="1">
        <v>45838</v>
      </c>
      <c r="B32" s="2">
        <v>25.7057</v>
      </c>
      <c r="C32" s="2" t="s">
        <v>18</v>
      </c>
      <c r="D32" s="2">
        <v>48.695</v>
      </c>
      <c r="E32" s="2" t="s">
        <v>18</v>
      </c>
      <c r="F32" s="2">
        <v>32.408700000000003</v>
      </c>
      <c r="G32" s="2">
        <v>40.029699999999998</v>
      </c>
      <c r="H32" s="2" t="s">
        <v>18</v>
      </c>
      <c r="I32" s="2" t="s">
        <v>18</v>
      </c>
      <c r="J32" s="2">
        <v>52.640900000000002</v>
      </c>
      <c r="K32" s="2">
        <v>60.645699999999998</v>
      </c>
      <c r="L32" s="2">
        <v>95.423199999999994</v>
      </c>
      <c r="M32" s="2">
        <v>30.0412</v>
      </c>
      <c r="N32" s="2" t="s">
        <v>18</v>
      </c>
      <c r="O32" s="2">
        <v>36.6496</v>
      </c>
      <c r="P32" s="2">
        <v>7.3108000000000004</v>
      </c>
      <c r="Q32" s="2">
        <v>9.9482999999999997</v>
      </c>
      <c r="R32" s="2">
        <v>27.825399999999998</v>
      </c>
    </row>
    <row r="33" spans="1:18" x14ac:dyDescent="0.25">
      <c r="A33" s="1">
        <v>45930</v>
      </c>
      <c r="B33" s="2">
        <v>28.515999999999998</v>
      </c>
      <c r="C33" s="2" t="s">
        <v>18</v>
      </c>
      <c r="D33" s="2">
        <v>58.967300000000002</v>
      </c>
      <c r="E33" s="2" t="s">
        <v>18</v>
      </c>
      <c r="F33" s="2">
        <v>36.439900000000002</v>
      </c>
      <c r="G33" s="2">
        <v>41.934899999999999</v>
      </c>
      <c r="H33" s="2" t="s">
        <v>18</v>
      </c>
      <c r="I33" s="2" t="s">
        <v>18</v>
      </c>
      <c r="J33" s="2">
        <v>52.142800000000001</v>
      </c>
      <c r="K33" s="2">
        <v>57.484099999999998</v>
      </c>
      <c r="L33" s="2">
        <v>96.707999999999998</v>
      </c>
      <c r="M33" s="2">
        <v>36.548200000000001</v>
      </c>
      <c r="N33" s="2" t="s">
        <v>18</v>
      </c>
      <c r="O33" s="2">
        <v>34.113700000000001</v>
      </c>
      <c r="P33" s="2">
        <v>10.5556</v>
      </c>
      <c r="Q33" s="2">
        <v>13.7881</v>
      </c>
      <c r="R33" s="2">
        <v>41.167700000000004</v>
      </c>
    </row>
    <row r="34" spans="1:18" x14ac:dyDescent="0.25">
      <c r="A34" s="1">
        <v>46022</v>
      </c>
      <c r="B34" s="2">
        <v>29.060600000000001</v>
      </c>
      <c r="C34" s="2" t="s">
        <v>18</v>
      </c>
      <c r="D34" s="2">
        <v>60.319499999999998</v>
      </c>
      <c r="E34" s="2" t="s">
        <v>18</v>
      </c>
      <c r="F34" s="2">
        <v>33.836399999999998</v>
      </c>
      <c r="G34" s="2">
        <v>44.478299999999997</v>
      </c>
      <c r="H34" s="2" t="s">
        <v>18</v>
      </c>
      <c r="I34" s="2" t="s">
        <v>18</v>
      </c>
      <c r="J34" s="2">
        <v>54.7395</v>
      </c>
      <c r="K34" s="2">
        <v>50.222999999999999</v>
      </c>
      <c r="L34" s="2">
        <v>97.637799999999999</v>
      </c>
      <c r="M34" s="2">
        <v>27.218900000000001</v>
      </c>
      <c r="N34" s="2" t="s">
        <v>18</v>
      </c>
      <c r="O34" s="2">
        <v>40.267800000000001</v>
      </c>
      <c r="P34" s="2">
        <v>10.601800000000001</v>
      </c>
      <c r="Q34" s="2">
        <v>23.8995</v>
      </c>
      <c r="R34" s="2">
        <v>30.316700000000001</v>
      </c>
    </row>
    <row r="35" spans="1:18" x14ac:dyDescent="0.25">
      <c r="A35" s="1">
        <v>46112</v>
      </c>
      <c r="B35" s="2">
        <v>35.543900000000001</v>
      </c>
      <c r="C35" s="2" t="s">
        <v>18</v>
      </c>
      <c r="D35" s="2">
        <v>62.6267</v>
      </c>
      <c r="E35" s="2" t="s">
        <v>18</v>
      </c>
      <c r="F35" s="2">
        <v>32.901899999999998</v>
      </c>
      <c r="G35" s="2">
        <v>45.674100000000003</v>
      </c>
      <c r="H35" s="2" t="s">
        <v>18</v>
      </c>
      <c r="I35" s="2" t="s">
        <v>18</v>
      </c>
      <c r="J35" s="2">
        <v>58.247399999999999</v>
      </c>
      <c r="K35" s="2">
        <v>65.659199999999998</v>
      </c>
      <c r="L35" s="2">
        <v>96.932199999999995</v>
      </c>
      <c r="M35" s="2">
        <v>33.682400000000001</v>
      </c>
      <c r="N35" s="2" t="s">
        <v>18</v>
      </c>
      <c r="O35" s="2">
        <v>42.665399999999998</v>
      </c>
      <c r="P35" s="2">
        <v>8.6598000000000006</v>
      </c>
      <c r="Q35" s="2">
        <v>30.586300000000001</v>
      </c>
      <c r="R35" s="2">
        <v>41.187600000000003</v>
      </c>
    </row>
    <row r="36" spans="1:18" x14ac:dyDescent="0.25">
      <c r="A36" s="1">
        <v>46203</v>
      </c>
      <c r="B36" s="2">
        <v>45.101900000000001</v>
      </c>
      <c r="C36" s="2" t="s">
        <v>18</v>
      </c>
      <c r="D36" s="2">
        <v>59.044600000000003</v>
      </c>
      <c r="E36" s="2" t="s">
        <v>18</v>
      </c>
      <c r="F36" s="2">
        <v>36.8932</v>
      </c>
      <c r="G36" s="2">
        <v>23.749199999999998</v>
      </c>
      <c r="H36" s="2" t="s">
        <v>18</v>
      </c>
      <c r="I36" s="2" t="s">
        <v>18</v>
      </c>
      <c r="J36" s="2">
        <v>51.001399999999997</v>
      </c>
      <c r="K36" s="2">
        <v>57.656199999999998</v>
      </c>
      <c r="L36" s="2">
        <v>96.802499999999995</v>
      </c>
      <c r="M36" s="2">
        <v>35.3887</v>
      </c>
      <c r="N36" s="2" t="s">
        <v>18</v>
      </c>
      <c r="O36" s="2">
        <v>35.8065</v>
      </c>
      <c r="P36" s="2">
        <v>11.4643</v>
      </c>
      <c r="Q36" s="2">
        <v>30.0059</v>
      </c>
      <c r="R36" s="2">
        <v>28.975300000000001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C038-2309-47E9-A55A-A719869F3EC9}">
  <dimension ref="A1:R36"/>
  <sheetViews>
    <sheetView workbookViewId="0">
      <selection activeCell="O7" sqref="O7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f>_xll.BDH(B$1,"ASSET_TURNOVER","2017-12-29","","Dir=V","Per=Q","Days=A","Dts=S","cols=2;rows=35")</f>
        <v>43100</v>
      </c>
      <c r="B2" s="2">
        <v>0.54549999999999998</v>
      </c>
      <c r="C2" s="2" t="str">
        <f>_xll.BDH(C$1,"ASSET_TURNOVER","2017-12-29","","Dir=V","Per=Q","Days=A","Dts=H","cols=1;rows=35")</f>
        <v>#N/A N/A</v>
      </c>
      <c r="D2" s="2">
        <f>_xll.BDH(D$1,"ASSET_TURNOVER","2017-12-29","","Dir=V","Per=Q","Days=A","Dts=H","cols=1;rows=35")</f>
        <v>0.9254</v>
      </c>
      <c r="E2" s="2">
        <f>_xll.BDH(E$1,"ASSET_TURNOVER","2017-12-29","","Dir=V","Per=Q","Days=A","Dts=H","cols=1;rows=35")</f>
        <v>0.3029</v>
      </c>
      <c r="F2" s="2">
        <f>_xll.BDH(F$1,"ASSET_TURNOVER","2017-12-29","","Dir=V","Per=Q","Days=A","Dts=H","cols=1;rows=35")</f>
        <v>1.0525</v>
      </c>
      <c r="G2" s="2">
        <f>_xll.BDH(G$1,"ASSET_TURNOVER","2017-12-29","","Dir=V","Per=Q","Days=A","Dts=H","cols=1;rows=35")</f>
        <v>0.88190000000000002</v>
      </c>
      <c r="H2" s="2">
        <f>_xll.BDH(H$1,"ASSET_TURNOVER","2017-12-29","","Dir=V","Per=Q","Days=A","Dts=H","cols=1;rows=35")</f>
        <v>0.22259999999999999</v>
      </c>
      <c r="I2" s="2">
        <f>_xll.BDH(I$1,"ASSET_TURNOVER","2017-12-29","","Dir=V","Per=Q","Days=A","Dts=H","cols=1;rows=35")</f>
        <v>0.20499999999999999</v>
      </c>
      <c r="J2" s="2">
        <f>_xll.BDH(J$1,"ASSET_TURNOVER","2017-12-29","","Dir=V","Per=Q","Days=A","Dts=H","cols=1;rows=35")</f>
        <v>0.74199999999999999</v>
      </c>
      <c r="K2" s="2">
        <f>_xll.BDH(K$1,"ASSET_TURNOVER","2017-12-29","","Dir=V","Per=Q","Days=A","Dts=H","cols=1;rows=35")</f>
        <v>0.29809999999999998</v>
      </c>
      <c r="L2" s="2">
        <f>_xll.BDH(L$1,"ASSET_TURNOVER","2017-12-29","","Dir=V","Per=Q","Days=A","Dts=H","cols=1;rows=35")</f>
        <v>0.93879999999999997</v>
      </c>
      <c r="M2" s="2">
        <f>_xll.BDH(M$1,"ASSET_TURNOVER","2017-12-29","","Dir=V","Per=Q","Days=A","Dts=H","cols=1;rows=35")</f>
        <v>0.5645</v>
      </c>
      <c r="N2" s="2">
        <f>_xll.BDH(N$1,"ASSET_TURNOVER","2017-12-29","","Dir=V","Per=Q","Days=A","Dts=H","cols=1;rows=35")</f>
        <v>0.2223</v>
      </c>
      <c r="O2" s="2" t="str">
        <f>_xll.BDH(O$1,"ASSET_TURNOVER","2017-12-29","","Dir=V","Per=Q","Days=A","Dts=H","cols=1;rows=35")</f>
        <v>#N/A N/A</v>
      </c>
      <c r="P2" s="2">
        <f>_xll.BDH(P$1,"ASSET_TURNOVER","2017-12-29","","Dir=V","Per=Q","Days=A","Dts=H","cols=1;rows=35")</f>
        <v>0.52529999999999999</v>
      </c>
      <c r="Q2" s="2">
        <f>_xll.BDH(Q$1,"ASSET_TURNOVER","2017-12-29","","Dir=V","Per=Q","Days=A","Dts=H","cols=1;rows=35")</f>
        <v>1.448</v>
      </c>
      <c r="R2" s="2">
        <f>_xll.BDH(R$1,"ASSET_TURNOVER","2017-12-29","","Dir=V","Per=Q","Days=A","Dts=H","cols=1;rows=35")</f>
        <v>0.40949999999999998</v>
      </c>
    </row>
    <row r="3" spans="1:18" x14ac:dyDescent="0.25">
      <c r="A3" s="1">
        <v>43190</v>
      </c>
      <c r="B3" s="2">
        <v>0.56869999999999998</v>
      </c>
      <c r="C3" s="2">
        <v>0.18440000000000001</v>
      </c>
      <c r="D3" s="2">
        <v>1.8928</v>
      </c>
      <c r="E3" s="2">
        <v>0.30299999999999999</v>
      </c>
      <c r="F3" s="2">
        <v>1.7125999999999999</v>
      </c>
      <c r="G3" s="2">
        <v>2.0541</v>
      </c>
      <c r="H3" s="2">
        <v>0.2366</v>
      </c>
      <c r="I3" s="2">
        <v>0.20080000000000001</v>
      </c>
      <c r="J3" s="2">
        <v>1.9201999999999999</v>
      </c>
      <c r="K3" s="2">
        <v>0.53139999999999998</v>
      </c>
      <c r="L3" s="2">
        <v>0.77900000000000003</v>
      </c>
      <c r="M3" s="2">
        <v>1.0033000000000001</v>
      </c>
      <c r="N3" s="2">
        <v>0.1681</v>
      </c>
      <c r="O3" s="2" t="s">
        <v>18</v>
      </c>
      <c r="P3" s="2">
        <v>0.99609999999999999</v>
      </c>
      <c r="Q3" s="2">
        <v>2.4493</v>
      </c>
      <c r="R3" s="2">
        <v>0.55300000000000005</v>
      </c>
    </row>
    <row r="4" spans="1:18" x14ac:dyDescent="0.25">
      <c r="A4" s="1">
        <v>43281</v>
      </c>
      <c r="B4" s="2">
        <v>0.50919999999999999</v>
      </c>
      <c r="C4" s="2">
        <v>0.16250000000000001</v>
      </c>
      <c r="D4" s="2">
        <v>1.8789</v>
      </c>
      <c r="E4" s="2">
        <v>0.29139999999999999</v>
      </c>
      <c r="F4" s="2">
        <v>1.4097</v>
      </c>
      <c r="G4" s="2">
        <v>2.2854999999999999</v>
      </c>
      <c r="H4" s="2">
        <v>0.22339999999999999</v>
      </c>
      <c r="I4" s="2">
        <v>0.21049999999999999</v>
      </c>
      <c r="J4" s="2">
        <v>1.7768999999999999</v>
      </c>
      <c r="K4" s="2">
        <v>0.69450000000000001</v>
      </c>
      <c r="L4" s="2">
        <v>1.0537000000000001</v>
      </c>
      <c r="M4" s="2">
        <v>1.1200000000000001</v>
      </c>
      <c r="N4" s="2">
        <v>0.22620000000000001</v>
      </c>
      <c r="O4" s="2">
        <v>0.17649999999999999</v>
      </c>
      <c r="P4" s="2">
        <v>0.83740000000000003</v>
      </c>
      <c r="Q4" s="2">
        <v>1.4036</v>
      </c>
      <c r="R4" s="2">
        <v>0.57069999999999999</v>
      </c>
    </row>
    <row r="5" spans="1:18" x14ac:dyDescent="0.25">
      <c r="A5" s="1">
        <v>43373</v>
      </c>
      <c r="B5" s="2">
        <v>0.47020000000000001</v>
      </c>
      <c r="C5" s="2">
        <v>0.1404</v>
      </c>
      <c r="D5" s="2">
        <v>1.7294</v>
      </c>
      <c r="E5" s="2">
        <v>0.28639999999999999</v>
      </c>
      <c r="F5" s="2">
        <v>1.6971000000000001</v>
      </c>
      <c r="G5" s="2">
        <v>2.4922</v>
      </c>
      <c r="H5" s="2">
        <v>0.22850000000000001</v>
      </c>
      <c r="I5" s="2">
        <v>0.2092</v>
      </c>
      <c r="J5" s="2">
        <v>2.0209000000000001</v>
      </c>
      <c r="K5" s="2">
        <v>0.81169999999999998</v>
      </c>
      <c r="L5" s="2">
        <v>1.2823</v>
      </c>
      <c r="M5" s="2">
        <v>1.1372</v>
      </c>
      <c r="N5" s="2">
        <v>0.23430000000000001</v>
      </c>
      <c r="O5" s="2">
        <v>0.215</v>
      </c>
      <c r="P5" s="2">
        <v>0.84850000000000003</v>
      </c>
      <c r="Q5" s="2">
        <v>2.7004000000000001</v>
      </c>
      <c r="R5" s="2">
        <v>0.60650000000000004</v>
      </c>
    </row>
    <row r="6" spans="1:18" x14ac:dyDescent="0.25">
      <c r="A6" s="1">
        <v>43465</v>
      </c>
      <c r="B6" s="2">
        <v>0.58120000000000005</v>
      </c>
      <c r="C6" s="2">
        <v>0.20269999999999999</v>
      </c>
      <c r="D6" s="2">
        <v>0.58299999999999996</v>
      </c>
      <c r="E6" s="2">
        <v>0.33829999999999999</v>
      </c>
      <c r="F6" s="2">
        <v>1.0461</v>
      </c>
      <c r="G6" s="2">
        <v>0.8468</v>
      </c>
      <c r="H6" s="2">
        <v>0.28110000000000002</v>
      </c>
      <c r="I6" s="2">
        <v>0.24360000000000001</v>
      </c>
      <c r="J6" s="2">
        <v>0.70140000000000002</v>
      </c>
      <c r="K6" s="2">
        <v>0.31569999999999998</v>
      </c>
      <c r="L6" s="2">
        <v>0.72240000000000004</v>
      </c>
      <c r="M6" s="2">
        <v>0.62280000000000002</v>
      </c>
      <c r="N6" s="2">
        <v>0.25769999999999998</v>
      </c>
      <c r="O6" s="2">
        <v>0.2283</v>
      </c>
      <c r="P6" s="2">
        <v>0.34860000000000002</v>
      </c>
      <c r="Q6" s="2">
        <v>2.0499000000000001</v>
      </c>
      <c r="R6" s="2">
        <v>0.34079999999999999</v>
      </c>
    </row>
    <row r="7" spans="1:18" x14ac:dyDescent="0.25">
      <c r="A7" s="1">
        <v>43555</v>
      </c>
      <c r="B7" s="2">
        <v>0.57250000000000001</v>
      </c>
      <c r="C7" s="2">
        <v>0.27539999999999998</v>
      </c>
      <c r="D7" s="2">
        <v>0.98129999999999995</v>
      </c>
      <c r="E7" s="2">
        <v>0.40770000000000001</v>
      </c>
      <c r="F7" s="2">
        <v>1.6828000000000001</v>
      </c>
      <c r="G7" s="2">
        <v>1.446</v>
      </c>
      <c r="H7" s="2">
        <v>0.33750000000000002</v>
      </c>
      <c r="I7" s="2">
        <v>0.33239999999999997</v>
      </c>
      <c r="J7" s="2">
        <v>1.2381</v>
      </c>
      <c r="K7" s="2">
        <v>0.4884</v>
      </c>
      <c r="L7" s="2">
        <v>0.80179999999999996</v>
      </c>
      <c r="M7" s="2">
        <v>0.74309999999999998</v>
      </c>
      <c r="N7" s="2">
        <v>0.29270000000000002</v>
      </c>
      <c r="O7" s="2">
        <v>0.23780000000000001</v>
      </c>
      <c r="P7" s="2">
        <v>1.0399</v>
      </c>
      <c r="Q7" s="2">
        <v>1.5238</v>
      </c>
      <c r="R7" s="2">
        <v>0.57920000000000005</v>
      </c>
    </row>
    <row r="8" spans="1:18" x14ac:dyDescent="0.25">
      <c r="A8" s="1">
        <v>43646</v>
      </c>
      <c r="B8" s="2">
        <v>0.57679999999999998</v>
      </c>
      <c r="C8" s="2">
        <v>0.24399999999999999</v>
      </c>
      <c r="D8" s="2">
        <v>1.0459000000000001</v>
      </c>
      <c r="E8" s="2">
        <v>0.46729999999999999</v>
      </c>
      <c r="F8" s="2">
        <v>1.5920000000000001</v>
      </c>
      <c r="G8" s="2">
        <v>1.4964</v>
      </c>
      <c r="H8" s="2">
        <v>0.38450000000000001</v>
      </c>
      <c r="I8" s="2">
        <v>0.42230000000000001</v>
      </c>
      <c r="J8" s="2">
        <v>1.1979</v>
      </c>
      <c r="K8" s="2">
        <v>0.51319999999999999</v>
      </c>
      <c r="L8" s="2">
        <v>0.78069999999999995</v>
      </c>
      <c r="M8" s="2">
        <v>0.7429</v>
      </c>
      <c r="N8" s="2">
        <v>0.43070000000000003</v>
      </c>
      <c r="O8" s="2">
        <v>0.1673</v>
      </c>
      <c r="P8" s="2">
        <v>1.3406</v>
      </c>
      <c r="Q8" s="2">
        <v>0.92910000000000004</v>
      </c>
      <c r="R8" s="2">
        <v>0.54690000000000005</v>
      </c>
    </row>
    <row r="9" spans="1:18" x14ac:dyDescent="0.25">
      <c r="A9" s="1">
        <v>43738</v>
      </c>
      <c r="B9" s="2">
        <v>0.48070000000000002</v>
      </c>
      <c r="C9" s="2">
        <v>0.2243</v>
      </c>
      <c r="D9" s="2">
        <v>0.94189999999999996</v>
      </c>
      <c r="E9" s="2">
        <v>0.50260000000000005</v>
      </c>
      <c r="F9" s="2">
        <v>1.5628</v>
      </c>
      <c r="G9" s="2">
        <v>1.3738999999999999</v>
      </c>
      <c r="H9" s="2">
        <v>0.42880000000000001</v>
      </c>
      <c r="I9" s="2">
        <v>0.4753</v>
      </c>
      <c r="J9" s="2">
        <v>1.0183</v>
      </c>
      <c r="K9" s="2">
        <v>0.43030000000000002</v>
      </c>
      <c r="L9" s="2">
        <v>0.7268</v>
      </c>
      <c r="M9" s="2">
        <v>0.65629999999999999</v>
      </c>
      <c r="N9" s="2">
        <v>0.4758</v>
      </c>
      <c r="O9" s="2">
        <v>0.18659999999999999</v>
      </c>
      <c r="P9" s="2">
        <v>1.4661999999999999</v>
      </c>
      <c r="Q9" s="2">
        <v>1.3871</v>
      </c>
      <c r="R9" s="2">
        <v>0.50019999999999998</v>
      </c>
    </row>
    <row r="10" spans="1:18" x14ac:dyDescent="0.25">
      <c r="A10" s="1">
        <v>43830</v>
      </c>
      <c r="B10" s="2">
        <v>0.52859999999999996</v>
      </c>
      <c r="C10" s="2">
        <v>0.34820000000000001</v>
      </c>
      <c r="D10" s="2">
        <v>0.52400000000000002</v>
      </c>
      <c r="E10" s="2">
        <v>0.46700000000000003</v>
      </c>
      <c r="F10" s="2">
        <v>1.0668</v>
      </c>
      <c r="G10" s="2">
        <v>0.88939999999999997</v>
      </c>
      <c r="H10" s="2">
        <v>0.41239999999999999</v>
      </c>
      <c r="I10" s="2">
        <v>0.46060000000000001</v>
      </c>
      <c r="J10" s="2">
        <v>0.55859999999999999</v>
      </c>
      <c r="K10" s="2">
        <v>0.33429999999999999</v>
      </c>
      <c r="L10" s="2">
        <v>0.53700000000000003</v>
      </c>
      <c r="M10" s="2">
        <v>0.55249999999999999</v>
      </c>
      <c r="N10" s="2">
        <v>0.56810000000000005</v>
      </c>
      <c r="O10" s="2">
        <v>0.17580000000000001</v>
      </c>
      <c r="P10" s="2">
        <v>0.9083</v>
      </c>
      <c r="Q10" s="2">
        <v>1.212</v>
      </c>
      <c r="R10" s="2">
        <v>0.4551</v>
      </c>
    </row>
    <row r="11" spans="1:18" x14ac:dyDescent="0.25">
      <c r="A11" s="1">
        <v>43921</v>
      </c>
      <c r="B11" s="2">
        <v>0.51170000000000004</v>
      </c>
      <c r="C11" s="2">
        <v>0.28139999999999998</v>
      </c>
      <c r="D11" s="2">
        <v>0.71540000000000004</v>
      </c>
      <c r="E11" s="2">
        <v>0.45900000000000002</v>
      </c>
      <c r="F11" s="2">
        <v>1.5057</v>
      </c>
      <c r="G11" s="2">
        <v>1.0174000000000001</v>
      </c>
      <c r="H11" s="2">
        <v>0.4733</v>
      </c>
      <c r="I11" s="2">
        <v>0.49840000000000001</v>
      </c>
      <c r="J11" s="2">
        <v>0.76229999999999998</v>
      </c>
      <c r="K11" s="2">
        <v>0.46139999999999998</v>
      </c>
      <c r="L11" s="2">
        <v>0.63649999999999995</v>
      </c>
      <c r="M11" s="2">
        <v>0.47770000000000001</v>
      </c>
      <c r="N11" s="2">
        <v>0.51619999999999999</v>
      </c>
      <c r="O11" s="2">
        <v>0.11799999999999999</v>
      </c>
      <c r="P11" s="2">
        <v>1.2193000000000001</v>
      </c>
      <c r="Q11" s="2">
        <v>1.1890000000000001</v>
      </c>
      <c r="R11" s="2">
        <v>0.5181</v>
      </c>
    </row>
    <row r="12" spans="1:18" x14ac:dyDescent="0.25">
      <c r="A12" s="1">
        <v>44012</v>
      </c>
      <c r="B12" s="2">
        <v>0.48799999999999999</v>
      </c>
      <c r="C12" s="2">
        <v>0.23139999999999999</v>
      </c>
      <c r="D12" s="2">
        <v>0.73319999999999996</v>
      </c>
      <c r="E12" s="2">
        <v>0.43640000000000001</v>
      </c>
      <c r="F12" s="2">
        <v>1.4247000000000001</v>
      </c>
      <c r="G12" s="2">
        <v>0.87690000000000001</v>
      </c>
      <c r="H12" s="2">
        <v>0.44840000000000002</v>
      </c>
      <c r="I12" s="2">
        <v>0.47289999999999999</v>
      </c>
      <c r="J12" s="2">
        <v>0.75460000000000005</v>
      </c>
      <c r="K12" s="2">
        <v>0.47360000000000002</v>
      </c>
      <c r="L12" s="2">
        <v>0.64900000000000002</v>
      </c>
      <c r="M12" s="2">
        <v>0.38340000000000002</v>
      </c>
      <c r="N12" s="2">
        <v>0.496</v>
      </c>
      <c r="O12" s="2">
        <v>6.5100000000000005E-2</v>
      </c>
      <c r="P12" s="2">
        <v>1.1555</v>
      </c>
      <c r="Q12" s="2">
        <v>0.81979999999999997</v>
      </c>
      <c r="R12" s="2">
        <v>0.48749999999999999</v>
      </c>
    </row>
    <row r="13" spans="1:18" x14ac:dyDescent="0.25">
      <c r="A13" s="1">
        <v>44104</v>
      </c>
      <c r="B13" s="2">
        <v>0.42470000000000002</v>
      </c>
      <c r="C13" s="2">
        <v>0.2334</v>
      </c>
      <c r="D13" s="2">
        <v>0.67759999999999998</v>
      </c>
      <c r="E13" s="2">
        <v>0.47560000000000002</v>
      </c>
      <c r="F13" s="2">
        <v>1.2538</v>
      </c>
      <c r="G13" s="2">
        <v>0.81200000000000006</v>
      </c>
      <c r="H13" s="2">
        <v>0.45669999999999999</v>
      </c>
      <c r="I13" s="2">
        <v>0.43409999999999999</v>
      </c>
      <c r="J13" s="2">
        <v>0.73770000000000002</v>
      </c>
      <c r="K13" s="2">
        <v>0.45200000000000001</v>
      </c>
      <c r="L13" s="2">
        <v>0.64149999999999996</v>
      </c>
      <c r="M13" s="2">
        <v>0.26379999999999998</v>
      </c>
      <c r="N13" s="2">
        <v>0.50670000000000004</v>
      </c>
      <c r="O13" s="2">
        <v>0.1086</v>
      </c>
      <c r="P13" s="2">
        <v>1.1423000000000001</v>
      </c>
      <c r="Q13" s="2">
        <v>1.2068000000000001</v>
      </c>
      <c r="R13" s="2">
        <v>0.44259999999999999</v>
      </c>
    </row>
    <row r="14" spans="1:18" x14ac:dyDescent="0.25">
      <c r="A14" s="1">
        <v>44196</v>
      </c>
      <c r="B14" s="2">
        <v>0.38279999999999997</v>
      </c>
      <c r="C14" s="2">
        <v>0.22059999999999999</v>
      </c>
      <c r="D14" s="2">
        <v>0.47610000000000002</v>
      </c>
      <c r="E14" s="2">
        <v>0.39939999999999998</v>
      </c>
      <c r="F14" s="2">
        <v>0.75</v>
      </c>
      <c r="G14" s="2">
        <v>0.80289999999999995</v>
      </c>
      <c r="H14" s="2">
        <v>0.32850000000000001</v>
      </c>
      <c r="I14" s="2">
        <v>0.28520000000000001</v>
      </c>
      <c r="J14" s="2">
        <v>0.54530000000000001</v>
      </c>
      <c r="K14" s="2">
        <v>0.27100000000000002</v>
      </c>
      <c r="L14" s="2">
        <v>0.49859999999999999</v>
      </c>
      <c r="M14" s="2">
        <v>0.20419999999999999</v>
      </c>
      <c r="N14" s="2">
        <v>0.3977</v>
      </c>
      <c r="O14" s="2">
        <v>0.1048</v>
      </c>
      <c r="P14" s="2">
        <v>0.74590000000000001</v>
      </c>
      <c r="Q14" s="2">
        <v>1.0958000000000001</v>
      </c>
      <c r="R14" s="2">
        <v>0.30230000000000001</v>
      </c>
    </row>
    <row r="15" spans="1:18" x14ac:dyDescent="0.25">
      <c r="A15" s="1">
        <v>44286</v>
      </c>
      <c r="B15" s="2">
        <v>0.38940000000000002</v>
      </c>
      <c r="C15" s="2">
        <v>0.25</v>
      </c>
      <c r="D15" s="2">
        <v>0.51970000000000005</v>
      </c>
      <c r="E15" s="2">
        <v>0.52559999999999996</v>
      </c>
      <c r="F15" s="2">
        <v>1.012</v>
      </c>
      <c r="G15" s="2">
        <v>0.73960000000000004</v>
      </c>
      <c r="H15" s="2">
        <v>0.51060000000000005</v>
      </c>
      <c r="I15" s="2">
        <v>0.42149999999999999</v>
      </c>
      <c r="J15" s="2">
        <v>0.62639999999999996</v>
      </c>
      <c r="K15" s="2">
        <v>0.35649999999999998</v>
      </c>
      <c r="L15" s="2">
        <v>0.62880000000000003</v>
      </c>
      <c r="M15" s="2">
        <v>0.21540000000000001</v>
      </c>
      <c r="N15" s="2">
        <v>0.50290000000000001</v>
      </c>
      <c r="O15" s="2">
        <v>0.1132</v>
      </c>
      <c r="P15" s="2">
        <v>1.2054</v>
      </c>
      <c r="Q15" s="2">
        <v>0.74870000000000003</v>
      </c>
      <c r="R15" s="2">
        <v>0.3952</v>
      </c>
    </row>
    <row r="16" spans="1:18" x14ac:dyDescent="0.25">
      <c r="A16" s="1">
        <v>44377</v>
      </c>
      <c r="B16" s="2">
        <v>0.47489999999999999</v>
      </c>
      <c r="C16" s="2">
        <v>0.32540000000000002</v>
      </c>
      <c r="D16" s="2">
        <v>0.49149999999999999</v>
      </c>
      <c r="E16" s="2">
        <v>0.54169999999999996</v>
      </c>
      <c r="F16" s="2">
        <v>1.0920000000000001</v>
      </c>
      <c r="G16" s="2">
        <v>0.79669999999999996</v>
      </c>
      <c r="H16" s="2">
        <v>0.50629999999999997</v>
      </c>
      <c r="I16" s="2">
        <v>0.44130000000000003</v>
      </c>
      <c r="J16" s="2">
        <v>0.66839999999999999</v>
      </c>
      <c r="K16" s="2">
        <v>0.35020000000000001</v>
      </c>
      <c r="L16" s="2">
        <v>0.56940000000000002</v>
      </c>
      <c r="M16" s="2">
        <v>0.2908</v>
      </c>
      <c r="N16" s="2">
        <v>0.50770000000000004</v>
      </c>
      <c r="O16" s="2">
        <v>0.1036</v>
      </c>
      <c r="P16" s="2">
        <v>1.3960999999999999</v>
      </c>
      <c r="Q16" s="2">
        <v>0.86680000000000001</v>
      </c>
      <c r="R16" s="2">
        <v>0.437</v>
      </c>
    </row>
    <row r="17" spans="1:18" x14ac:dyDescent="0.25">
      <c r="A17" s="1">
        <v>44469</v>
      </c>
      <c r="B17" s="2">
        <v>0.54369999999999996</v>
      </c>
      <c r="C17" s="2">
        <v>0.3543</v>
      </c>
      <c r="D17" s="2">
        <v>0.51690000000000003</v>
      </c>
      <c r="E17" s="2">
        <v>0.57840000000000003</v>
      </c>
      <c r="F17" s="2">
        <v>1.0846</v>
      </c>
      <c r="G17" s="2">
        <v>0.80910000000000004</v>
      </c>
      <c r="H17" s="2">
        <v>0.50149999999999995</v>
      </c>
      <c r="I17" s="2">
        <v>0.50119999999999998</v>
      </c>
      <c r="J17" s="2">
        <v>0.69440000000000002</v>
      </c>
      <c r="K17" s="2">
        <v>0.35249999999999998</v>
      </c>
      <c r="L17" s="2">
        <v>0.63470000000000004</v>
      </c>
      <c r="M17" s="2">
        <v>0.31950000000000001</v>
      </c>
      <c r="N17" s="2">
        <v>0.55520000000000003</v>
      </c>
      <c r="O17" s="2">
        <v>0.2717</v>
      </c>
      <c r="P17" s="2">
        <v>1.5686</v>
      </c>
      <c r="Q17" s="2">
        <v>1.2553000000000001</v>
      </c>
      <c r="R17" s="2">
        <v>0.4652</v>
      </c>
    </row>
    <row r="18" spans="1:18" x14ac:dyDescent="0.25">
      <c r="A18" s="1">
        <v>44561</v>
      </c>
      <c r="B18" s="2">
        <v>0.59540000000000004</v>
      </c>
      <c r="C18" s="2">
        <v>0.3427</v>
      </c>
      <c r="D18" s="2">
        <v>0.38640000000000002</v>
      </c>
      <c r="E18" s="2">
        <v>0.39219999999999999</v>
      </c>
      <c r="F18" s="2">
        <v>1.0846</v>
      </c>
      <c r="G18" s="2">
        <v>0.64829999999999999</v>
      </c>
      <c r="H18" s="2">
        <v>0.33090000000000003</v>
      </c>
      <c r="I18" s="2">
        <v>0.32019999999999998</v>
      </c>
      <c r="J18" s="2">
        <v>0.58330000000000004</v>
      </c>
      <c r="K18" s="2">
        <v>0.2404</v>
      </c>
      <c r="L18" s="2">
        <v>0.4234</v>
      </c>
      <c r="M18" s="2">
        <v>0.3579</v>
      </c>
      <c r="N18" s="2">
        <v>0.3639</v>
      </c>
      <c r="O18" s="2">
        <v>0.30969999999999998</v>
      </c>
      <c r="P18" s="2">
        <v>1.1062000000000001</v>
      </c>
      <c r="Q18" s="2">
        <v>1.4092</v>
      </c>
      <c r="R18" s="2">
        <v>0.35570000000000002</v>
      </c>
    </row>
    <row r="19" spans="1:18" x14ac:dyDescent="0.25">
      <c r="A19" s="1">
        <v>44651</v>
      </c>
      <c r="B19" s="2">
        <v>0.61160000000000003</v>
      </c>
      <c r="C19" s="2">
        <v>0.53359999999999996</v>
      </c>
      <c r="D19" s="2">
        <v>0.59040000000000004</v>
      </c>
      <c r="E19" s="2">
        <v>0.70550000000000002</v>
      </c>
      <c r="F19" s="2">
        <v>1.2897000000000001</v>
      </c>
      <c r="G19" s="2">
        <v>1.0283</v>
      </c>
      <c r="H19" s="2">
        <v>0.64190000000000003</v>
      </c>
      <c r="I19" s="2">
        <v>0.62639999999999996</v>
      </c>
      <c r="J19" s="2">
        <v>0.9476</v>
      </c>
      <c r="K19" s="2">
        <v>0.44750000000000001</v>
      </c>
      <c r="L19" s="2">
        <v>0.76080000000000003</v>
      </c>
      <c r="M19" s="2">
        <v>0.35320000000000001</v>
      </c>
      <c r="N19" s="2">
        <v>0.71419999999999995</v>
      </c>
      <c r="O19" s="2">
        <v>0.34239999999999998</v>
      </c>
      <c r="P19" s="2">
        <v>2.0605000000000002</v>
      </c>
      <c r="Q19" s="2">
        <v>1.2222</v>
      </c>
      <c r="R19" s="2">
        <v>0.39579999999999999</v>
      </c>
    </row>
    <row r="20" spans="1:18" x14ac:dyDescent="0.25">
      <c r="A20" s="1">
        <v>44742</v>
      </c>
      <c r="B20" s="2">
        <v>0.65869999999999995</v>
      </c>
      <c r="C20" s="2">
        <v>0.56920000000000004</v>
      </c>
      <c r="D20" s="2">
        <v>0.6552</v>
      </c>
      <c r="E20" s="2">
        <v>0.74570000000000003</v>
      </c>
      <c r="F20" s="2">
        <v>1.4027000000000001</v>
      </c>
      <c r="G20" s="2">
        <v>1.0330999999999999</v>
      </c>
      <c r="H20" s="2">
        <v>0.71909999999999996</v>
      </c>
      <c r="I20" s="2">
        <v>0.55089999999999995</v>
      </c>
      <c r="J20" s="2">
        <v>0.97860000000000003</v>
      </c>
      <c r="K20" s="2">
        <v>0.49359999999999998</v>
      </c>
      <c r="L20" s="2">
        <v>0.8387</v>
      </c>
      <c r="M20" s="2">
        <v>0.4163</v>
      </c>
      <c r="N20" s="2">
        <v>0.74690000000000001</v>
      </c>
      <c r="O20" s="2">
        <v>0.21920000000000001</v>
      </c>
      <c r="P20" s="2">
        <v>1.7968</v>
      </c>
      <c r="Q20" s="2">
        <v>1.1435</v>
      </c>
      <c r="R20" s="2">
        <v>0.44529999999999997</v>
      </c>
    </row>
    <row r="21" spans="1:18" x14ac:dyDescent="0.25">
      <c r="A21" s="1">
        <v>44834</v>
      </c>
      <c r="B21" s="2">
        <v>0.7026</v>
      </c>
      <c r="C21" s="2">
        <v>0.43680000000000002</v>
      </c>
      <c r="D21" s="2">
        <v>0.7107</v>
      </c>
      <c r="E21" s="2">
        <v>0.91959999999999997</v>
      </c>
      <c r="F21" s="2">
        <v>1.4834000000000001</v>
      </c>
      <c r="G21" s="2">
        <v>0.84870000000000001</v>
      </c>
      <c r="H21" s="2">
        <v>0.87749999999999995</v>
      </c>
      <c r="I21" s="2">
        <v>0.7258</v>
      </c>
      <c r="J21" s="2">
        <v>0.98240000000000005</v>
      </c>
      <c r="K21" s="2">
        <v>0.54469999999999996</v>
      </c>
      <c r="L21" s="2">
        <v>1.1053999999999999</v>
      </c>
      <c r="M21" s="2">
        <v>0.39800000000000002</v>
      </c>
      <c r="N21" s="2">
        <v>0.88780000000000003</v>
      </c>
      <c r="O21" s="2">
        <v>0.46339999999999998</v>
      </c>
      <c r="P21" s="2">
        <v>1.9236</v>
      </c>
      <c r="Q21" s="2">
        <v>1.7146999999999999</v>
      </c>
      <c r="R21" s="2">
        <v>0.48309999999999997</v>
      </c>
    </row>
    <row r="22" spans="1:18" x14ac:dyDescent="0.25">
      <c r="A22" s="1">
        <v>44926</v>
      </c>
      <c r="B22" s="2">
        <v>0.72030000000000005</v>
      </c>
      <c r="C22" s="2">
        <v>0.61029999999999995</v>
      </c>
      <c r="D22" s="2">
        <v>0.38879999999999998</v>
      </c>
      <c r="E22" s="2">
        <v>0.5827</v>
      </c>
      <c r="F22" s="2">
        <v>1.4834000000000001</v>
      </c>
      <c r="G22" s="2">
        <v>0.70850000000000002</v>
      </c>
      <c r="H22" s="2">
        <v>0.71650000000000003</v>
      </c>
      <c r="I22" s="2">
        <v>0.58089999999999997</v>
      </c>
      <c r="J22" s="2">
        <v>0.5353</v>
      </c>
      <c r="K22" s="2">
        <v>0.33019999999999999</v>
      </c>
      <c r="L22" s="2">
        <v>0.59140000000000004</v>
      </c>
      <c r="M22" s="2">
        <v>0.39169999999999999</v>
      </c>
      <c r="N22" s="2">
        <v>0.70109999999999995</v>
      </c>
      <c r="O22" s="2">
        <v>0.52339999999999998</v>
      </c>
      <c r="P22" s="2">
        <v>1.1937</v>
      </c>
      <c r="Q22" s="2">
        <v>1.8065</v>
      </c>
      <c r="R22" s="2">
        <v>0.374</v>
      </c>
    </row>
    <row r="23" spans="1:18" x14ac:dyDescent="0.25">
      <c r="A23" s="1">
        <v>45016</v>
      </c>
      <c r="B23" s="2">
        <v>0.7268</v>
      </c>
      <c r="C23" s="2">
        <v>1.8355999999999999</v>
      </c>
      <c r="D23" s="2">
        <v>1.3935999999999999</v>
      </c>
      <c r="E23" s="2">
        <v>1.9479</v>
      </c>
      <c r="F23" s="2">
        <v>2.4990000000000001</v>
      </c>
      <c r="G23" s="2">
        <v>2.0647000000000002</v>
      </c>
      <c r="H23" s="2">
        <v>2.2513999999999998</v>
      </c>
      <c r="I23" s="2">
        <v>1.8548</v>
      </c>
      <c r="J23" s="2">
        <v>1.5247999999999999</v>
      </c>
      <c r="K23" s="2">
        <v>0.88539999999999996</v>
      </c>
      <c r="L23" s="2">
        <v>1.6765000000000001</v>
      </c>
      <c r="M23" s="2">
        <v>0.37709999999999999</v>
      </c>
      <c r="N23" s="2">
        <v>2.3052999999999999</v>
      </c>
      <c r="O23" s="2">
        <v>0.58220000000000005</v>
      </c>
      <c r="P23" s="2">
        <v>3.3942000000000001</v>
      </c>
      <c r="Q23" s="2">
        <v>1.5387999999999999</v>
      </c>
      <c r="R23" s="2">
        <v>0.98519999999999996</v>
      </c>
    </row>
    <row r="24" spans="1:18" x14ac:dyDescent="0.25">
      <c r="A24" s="1">
        <v>45107</v>
      </c>
      <c r="B24" s="2">
        <v>0.67869999999999997</v>
      </c>
      <c r="C24" s="2">
        <v>1.9734</v>
      </c>
      <c r="D24" s="2">
        <v>1.4912000000000001</v>
      </c>
      <c r="E24" s="2">
        <v>2.0749</v>
      </c>
      <c r="F24" s="2">
        <v>2.7242000000000002</v>
      </c>
      <c r="G24" s="2">
        <v>2.1514000000000002</v>
      </c>
      <c r="H24" s="2">
        <v>2.4020999999999999</v>
      </c>
      <c r="I24" s="2">
        <v>2.0840000000000001</v>
      </c>
      <c r="J24" s="2">
        <v>1.5545</v>
      </c>
      <c r="K24" s="2">
        <v>0.91310000000000002</v>
      </c>
      <c r="L24" s="2">
        <v>1.7625999999999999</v>
      </c>
      <c r="M24" s="2">
        <v>0.36130000000000001</v>
      </c>
      <c r="N24" s="2">
        <v>2.4904999999999999</v>
      </c>
      <c r="O24" s="2">
        <v>0.21940000000000001</v>
      </c>
      <c r="P24" s="2">
        <v>3.57</v>
      </c>
      <c r="Q24" s="2">
        <v>1.1659999999999999</v>
      </c>
      <c r="R24" s="2">
        <v>1.0626</v>
      </c>
    </row>
    <row r="25" spans="1:18" x14ac:dyDescent="0.25">
      <c r="A25" s="1">
        <v>45199</v>
      </c>
      <c r="B25" s="2">
        <v>0.62839999999999996</v>
      </c>
      <c r="C25" s="2">
        <v>1.4939</v>
      </c>
      <c r="D25" s="2">
        <v>1.4074</v>
      </c>
      <c r="E25" s="2">
        <v>2.4049999999999998</v>
      </c>
      <c r="F25" s="2">
        <v>2.7622</v>
      </c>
      <c r="G25" s="2">
        <v>2.1886999999999999</v>
      </c>
      <c r="H25" s="2">
        <v>2.5865</v>
      </c>
      <c r="I25" s="2">
        <v>2.3094000000000001</v>
      </c>
      <c r="J25" s="2">
        <v>1.4106000000000001</v>
      </c>
      <c r="K25" s="2">
        <v>0.8206</v>
      </c>
      <c r="L25" s="2">
        <v>1.6226</v>
      </c>
      <c r="M25" s="2">
        <v>0.33700000000000002</v>
      </c>
      <c r="N25" s="2">
        <v>2.6124000000000001</v>
      </c>
      <c r="O25" s="2">
        <v>0.64070000000000005</v>
      </c>
      <c r="P25" s="2">
        <v>3.1116000000000001</v>
      </c>
      <c r="Q25" s="2">
        <v>3.5539000000000001</v>
      </c>
      <c r="R25" s="2">
        <v>1.0359</v>
      </c>
    </row>
    <row r="26" spans="1:18" x14ac:dyDescent="0.25">
      <c r="A26" s="1">
        <v>45291</v>
      </c>
      <c r="B26" s="2">
        <v>0.4425</v>
      </c>
      <c r="C26" s="2">
        <v>0.57730000000000004</v>
      </c>
      <c r="D26" s="2">
        <v>0.46560000000000001</v>
      </c>
      <c r="E26" s="2">
        <v>0.80030000000000001</v>
      </c>
      <c r="F26" s="2">
        <v>0.89100000000000001</v>
      </c>
      <c r="G26" s="2">
        <v>0.58399999999999996</v>
      </c>
      <c r="H26" s="2">
        <v>0.77029999999999998</v>
      </c>
      <c r="I26" s="2">
        <v>0.97350000000000003</v>
      </c>
      <c r="J26" s="2">
        <v>0.3911</v>
      </c>
      <c r="K26" s="2">
        <v>0.22850000000000001</v>
      </c>
      <c r="L26" s="2">
        <v>0.47320000000000001</v>
      </c>
      <c r="M26" s="2">
        <v>0.22059999999999999</v>
      </c>
      <c r="N26" s="2">
        <v>0.8196</v>
      </c>
      <c r="O26" s="2">
        <v>0.48010000000000003</v>
      </c>
      <c r="P26" s="2">
        <v>1.0602</v>
      </c>
      <c r="Q26" s="2">
        <v>2.6059000000000001</v>
      </c>
      <c r="R26" s="2">
        <v>0.29730000000000001</v>
      </c>
    </row>
    <row r="27" spans="1:18" x14ac:dyDescent="0.25">
      <c r="A27" s="1">
        <v>45382</v>
      </c>
      <c r="B27" s="2">
        <v>0.71830000000000005</v>
      </c>
      <c r="C27" s="2">
        <v>1.2372000000000001</v>
      </c>
      <c r="D27" s="2">
        <v>0.74870000000000003</v>
      </c>
      <c r="E27" s="2">
        <v>1.7762</v>
      </c>
      <c r="F27" s="2">
        <v>1.6558999999999999</v>
      </c>
      <c r="G27" s="2">
        <v>1.0153000000000001</v>
      </c>
      <c r="H27" s="2">
        <v>1.6041000000000001</v>
      </c>
      <c r="I27" s="2">
        <v>2.0432999999999999</v>
      </c>
      <c r="J27" s="2">
        <v>0.4864</v>
      </c>
      <c r="K27" s="2">
        <v>0.38869999999999999</v>
      </c>
      <c r="L27" s="2">
        <v>0.84450000000000003</v>
      </c>
      <c r="M27" s="2">
        <v>0.27829999999999999</v>
      </c>
      <c r="N27" s="2">
        <v>1.6649</v>
      </c>
      <c r="O27" s="2">
        <v>0.48349999999999999</v>
      </c>
      <c r="P27" s="2">
        <v>1.8051999999999999</v>
      </c>
      <c r="Q27" s="2">
        <v>2.0167000000000002</v>
      </c>
      <c r="R27" s="2">
        <v>0.59530000000000005</v>
      </c>
    </row>
    <row r="28" spans="1:18" x14ac:dyDescent="0.25">
      <c r="A28" s="1">
        <v>45473</v>
      </c>
      <c r="B28" s="2">
        <v>0.7137</v>
      </c>
      <c r="C28" s="2">
        <v>1.3212999999999999</v>
      </c>
      <c r="D28" s="2">
        <v>0.72460000000000002</v>
      </c>
      <c r="E28" s="2">
        <v>1.3146</v>
      </c>
      <c r="F28" s="2">
        <v>1.4876</v>
      </c>
      <c r="G28" s="2">
        <v>0.9738</v>
      </c>
      <c r="H28" s="2">
        <v>1.4073</v>
      </c>
      <c r="I28" s="2">
        <v>1.6988000000000001</v>
      </c>
      <c r="J28" s="2">
        <v>0.72260000000000002</v>
      </c>
      <c r="K28" s="2">
        <v>0.51339999999999997</v>
      </c>
      <c r="L28" s="2">
        <v>0.77339999999999998</v>
      </c>
      <c r="M28" s="2">
        <v>0.35</v>
      </c>
      <c r="N28" s="2">
        <v>1.3308</v>
      </c>
      <c r="O28" s="2">
        <v>0.20519999999999999</v>
      </c>
      <c r="P28" s="2">
        <v>1.7238</v>
      </c>
      <c r="Q28" s="2">
        <v>0.73240000000000005</v>
      </c>
      <c r="R28" s="2">
        <v>0.56489999999999996</v>
      </c>
    </row>
    <row r="29" spans="1:18" x14ac:dyDescent="0.25">
      <c r="A29" s="1">
        <v>45565</v>
      </c>
      <c r="B29" s="2">
        <v>0.71819999999999995</v>
      </c>
      <c r="C29" s="2">
        <v>0.74339999999999995</v>
      </c>
      <c r="D29" s="2">
        <v>0.69469999999999998</v>
      </c>
      <c r="E29" s="2">
        <v>0.9677</v>
      </c>
      <c r="F29" s="2">
        <v>1.4569000000000001</v>
      </c>
      <c r="G29" s="2">
        <v>0.9425</v>
      </c>
      <c r="H29" s="2">
        <v>1.0308999999999999</v>
      </c>
      <c r="I29" s="2">
        <v>1.228</v>
      </c>
      <c r="J29" s="2">
        <v>0.66300000000000003</v>
      </c>
      <c r="K29" s="2">
        <v>0.56169999999999998</v>
      </c>
      <c r="L29" s="2">
        <v>0.71499999999999997</v>
      </c>
      <c r="M29" s="2">
        <v>0.38940000000000002</v>
      </c>
      <c r="N29" s="2">
        <v>0.9446</v>
      </c>
      <c r="O29" s="2">
        <v>0.3674</v>
      </c>
      <c r="P29" s="2">
        <v>1.6029</v>
      </c>
      <c r="Q29" s="2">
        <v>1.226</v>
      </c>
      <c r="R29" s="2">
        <v>0.51380000000000003</v>
      </c>
    </row>
    <row r="30" spans="1:18" x14ac:dyDescent="0.25">
      <c r="A30" s="1">
        <v>45657</v>
      </c>
      <c r="B30" s="2">
        <v>0.70950000000000002</v>
      </c>
      <c r="C30" s="2">
        <v>0.30480000000000002</v>
      </c>
      <c r="D30" s="2">
        <v>0.42830000000000001</v>
      </c>
      <c r="E30" s="2">
        <v>0.42930000000000001</v>
      </c>
      <c r="F30" s="2">
        <v>0.9718</v>
      </c>
      <c r="G30" s="2">
        <v>0.6099</v>
      </c>
      <c r="H30" s="2">
        <v>0.52710000000000001</v>
      </c>
      <c r="I30" s="2">
        <v>0.48</v>
      </c>
      <c r="J30" s="2">
        <v>0.3972</v>
      </c>
      <c r="K30" s="2">
        <v>0.38080000000000003</v>
      </c>
      <c r="L30" s="2">
        <v>0.3982</v>
      </c>
      <c r="M30" s="2">
        <v>0.33429999999999999</v>
      </c>
      <c r="N30" s="2">
        <v>0.38319999999999999</v>
      </c>
      <c r="O30" s="2">
        <v>0.30740000000000001</v>
      </c>
      <c r="P30" s="2">
        <v>0.92169999999999996</v>
      </c>
      <c r="Q30" s="2">
        <v>1.0851999999999999</v>
      </c>
      <c r="R30" s="2">
        <v>0.28470000000000001</v>
      </c>
    </row>
    <row r="31" spans="1:18" x14ac:dyDescent="0.25">
      <c r="A31" s="1">
        <v>45747</v>
      </c>
      <c r="B31" s="2">
        <v>0.69520000000000004</v>
      </c>
      <c r="C31" s="2">
        <v>0.30380000000000001</v>
      </c>
      <c r="D31" s="2">
        <v>0.66220000000000001</v>
      </c>
      <c r="E31" s="2">
        <v>0.50739999999999996</v>
      </c>
      <c r="F31" s="2">
        <v>1.5081</v>
      </c>
      <c r="G31" s="2">
        <v>0.88570000000000004</v>
      </c>
      <c r="H31" s="2">
        <v>0.51500000000000001</v>
      </c>
      <c r="I31" s="2">
        <v>0.58909999999999996</v>
      </c>
      <c r="J31" s="2">
        <v>0.45119999999999999</v>
      </c>
      <c r="K31" s="2">
        <v>0.628</v>
      </c>
      <c r="L31" s="2">
        <v>0.53920000000000001</v>
      </c>
      <c r="M31" s="2">
        <v>0.33310000000000001</v>
      </c>
      <c r="N31" s="2">
        <v>0.54890000000000005</v>
      </c>
      <c r="O31" s="2">
        <v>0.28789999999999999</v>
      </c>
      <c r="P31" s="2">
        <v>1.1566000000000001</v>
      </c>
      <c r="Q31" s="2">
        <v>0.88180000000000003</v>
      </c>
      <c r="R31" s="2">
        <v>0.38279999999999997</v>
      </c>
    </row>
    <row r="32" spans="1:18" x14ac:dyDescent="0.25">
      <c r="A32" s="1">
        <v>45838</v>
      </c>
      <c r="B32" s="2">
        <v>0.68240000000000001</v>
      </c>
      <c r="C32" s="2">
        <v>0.29980000000000001</v>
      </c>
      <c r="D32" s="2">
        <v>0.64710000000000001</v>
      </c>
      <c r="E32" s="2">
        <v>0.44879999999999998</v>
      </c>
      <c r="F32" s="2">
        <v>1.1254999999999999</v>
      </c>
      <c r="G32" s="2">
        <v>0.84619999999999995</v>
      </c>
      <c r="H32" s="2">
        <v>0.51459999999999995</v>
      </c>
      <c r="I32" s="2">
        <v>0.51080000000000003</v>
      </c>
      <c r="J32" s="2">
        <v>0.56059999999999999</v>
      </c>
      <c r="K32" s="2">
        <v>0.66949999999999998</v>
      </c>
      <c r="L32" s="2">
        <v>0.56059999999999999</v>
      </c>
      <c r="M32" s="2">
        <v>0.32519999999999999</v>
      </c>
      <c r="N32" s="2">
        <v>0.49990000000000001</v>
      </c>
      <c r="O32" s="2">
        <v>0.20979999999999999</v>
      </c>
      <c r="P32" s="2">
        <v>1.1221000000000001</v>
      </c>
      <c r="Q32" s="2">
        <v>0.59950000000000003</v>
      </c>
      <c r="R32" s="2">
        <v>0.3458</v>
      </c>
    </row>
    <row r="33" spans="1:18" x14ac:dyDescent="0.25">
      <c r="A33" s="1">
        <v>45930</v>
      </c>
      <c r="B33" s="2">
        <v>0.63929999999999998</v>
      </c>
      <c r="C33" s="2">
        <v>0.22420000000000001</v>
      </c>
      <c r="D33" s="2">
        <v>0.64700000000000002</v>
      </c>
      <c r="E33" s="2">
        <v>0.37069999999999997</v>
      </c>
      <c r="F33" s="2">
        <v>1.0993999999999999</v>
      </c>
      <c r="G33" s="2">
        <v>0.75670000000000004</v>
      </c>
      <c r="H33" s="2">
        <v>0.40720000000000001</v>
      </c>
      <c r="I33" s="2">
        <v>0.44309999999999999</v>
      </c>
      <c r="J33" s="2">
        <v>0.52529999999999999</v>
      </c>
      <c r="K33" s="2">
        <v>0.57879999999999998</v>
      </c>
      <c r="L33" s="2">
        <v>0.57840000000000003</v>
      </c>
      <c r="M33" s="2">
        <v>0.31890000000000002</v>
      </c>
      <c r="N33" s="2">
        <v>0.437</v>
      </c>
      <c r="O33" s="2">
        <v>0.26619999999999999</v>
      </c>
      <c r="P33" s="2">
        <v>1.0282</v>
      </c>
      <c r="Q33" s="2">
        <v>0.75460000000000005</v>
      </c>
      <c r="R33" s="2">
        <v>0.32969999999999999</v>
      </c>
    </row>
    <row r="34" spans="1:18" x14ac:dyDescent="0.25">
      <c r="A34" s="1">
        <v>46022</v>
      </c>
      <c r="B34" s="2">
        <v>0.62719999999999998</v>
      </c>
      <c r="C34" s="2">
        <v>0.24129999999999999</v>
      </c>
      <c r="D34" s="2">
        <v>0.5151</v>
      </c>
      <c r="E34" s="2">
        <v>0.28960000000000002</v>
      </c>
      <c r="F34" s="2">
        <v>0.87</v>
      </c>
      <c r="G34" s="2">
        <v>0.55030000000000001</v>
      </c>
      <c r="H34" s="2">
        <v>0.31559999999999999</v>
      </c>
      <c r="I34" s="2">
        <v>0.3271</v>
      </c>
      <c r="J34" s="2">
        <v>0.34849999999999998</v>
      </c>
      <c r="K34" s="2">
        <v>0.50109999999999999</v>
      </c>
      <c r="L34" s="2">
        <v>0.52100000000000002</v>
      </c>
      <c r="M34" s="2">
        <v>0.30869999999999997</v>
      </c>
      <c r="N34" s="2">
        <v>0.31780000000000003</v>
      </c>
      <c r="O34" s="2">
        <v>0.25309999999999999</v>
      </c>
      <c r="P34" s="2">
        <v>0.82050000000000001</v>
      </c>
      <c r="Q34" s="2">
        <v>0.75590000000000002</v>
      </c>
      <c r="R34" s="2">
        <v>0.29520000000000002</v>
      </c>
    </row>
    <row r="35" spans="1:18" x14ac:dyDescent="0.25">
      <c r="A35" s="1">
        <v>46112</v>
      </c>
      <c r="B35" s="2">
        <v>0.62539999999999996</v>
      </c>
      <c r="C35" s="2">
        <v>0.22800000000000001</v>
      </c>
      <c r="D35" s="2">
        <v>0.58460000000000001</v>
      </c>
      <c r="E35" s="2">
        <v>0.33339999999999997</v>
      </c>
      <c r="F35" s="2">
        <v>1.0137</v>
      </c>
      <c r="G35" s="2">
        <v>0.62719999999999998</v>
      </c>
      <c r="H35" s="2">
        <v>0.3821</v>
      </c>
      <c r="I35" s="2">
        <v>0.39379999999999998</v>
      </c>
      <c r="J35" s="2">
        <v>0.4042</v>
      </c>
      <c r="K35" s="2">
        <v>0.51780000000000004</v>
      </c>
      <c r="L35" s="2">
        <v>0.55959999999999999</v>
      </c>
      <c r="M35" s="2">
        <v>0.32640000000000002</v>
      </c>
      <c r="N35" s="2">
        <v>0.37040000000000001</v>
      </c>
      <c r="O35" s="2">
        <v>0.2266</v>
      </c>
      <c r="P35" s="2">
        <v>0.92620000000000002</v>
      </c>
      <c r="Q35" s="2">
        <v>0.75700000000000001</v>
      </c>
      <c r="R35" s="2">
        <v>0.34310000000000002</v>
      </c>
    </row>
    <row r="36" spans="1:18" x14ac:dyDescent="0.25">
      <c r="A36" s="1">
        <v>46203</v>
      </c>
      <c r="B36" s="2">
        <v>0.67479999999999996</v>
      </c>
      <c r="C36" s="2">
        <v>0.22570000000000001</v>
      </c>
      <c r="D36" s="2">
        <v>0.56669999999999998</v>
      </c>
      <c r="E36" s="2">
        <v>0.30120000000000002</v>
      </c>
      <c r="F36" s="2">
        <v>0.8276</v>
      </c>
      <c r="G36" s="2">
        <v>0.65890000000000004</v>
      </c>
      <c r="H36" s="2">
        <v>0.3463</v>
      </c>
      <c r="I36" s="2">
        <v>0.35149999999999998</v>
      </c>
      <c r="J36" s="2">
        <v>0.38750000000000001</v>
      </c>
      <c r="K36" s="2">
        <v>0.51719999999999999</v>
      </c>
      <c r="L36" s="2">
        <v>0.57289999999999996</v>
      </c>
      <c r="M36" s="2">
        <v>0.34849999999999998</v>
      </c>
      <c r="N36" s="2">
        <v>0.33029999999999998</v>
      </c>
      <c r="O36" s="2">
        <v>0.18410000000000001</v>
      </c>
      <c r="P36" s="2">
        <v>0.90380000000000005</v>
      </c>
      <c r="Q36" s="2">
        <v>0.71870000000000001</v>
      </c>
      <c r="R36" s="2">
        <v>0.4118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Price</vt:lpstr>
      <vt:lpstr>ROA</vt:lpstr>
      <vt:lpstr>CFO</vt:lpstr>
      <vt:lpstr>TOT_ASSETS</vt:lpstr>
      <vt:lpstr>LEVER</vt:lpstr>
      <vt:lpstr>LIQUID</vt:lpstr>
      <vt:lpstr>EQ_OFFER</vt:lpstr>
      <vt:lpstr>MARGIN</vt:lpstr>
      <vt:lpstr>TURN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2026-09-15T18:45:26Z</dcterms:created>
  <dcterms:modified xsi:type="dcterms:W3CDTF">2026-09-15T19:07:51Z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  <property fmtid="{D5CDD505-2E9C-101B-9397-08002B2CF9AE}" pid="3" name="SSR_MIGRATION_STATUS">
    <vt:lpwstr>2</vt:lpwstr>
  </property>
</Properties>
</file>